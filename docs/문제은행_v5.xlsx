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6380" windowHeight="8190" tabRatio="500"/>
  </bookViews>
  <sheets>
    <sheet name="문제은행" sheetId="1" r:id="rId1"/>
    <sheet name="분류체계" sheetId="2" r:id="rId2"/>
    <sheet name="난이도분포" sheetId="3" r:id="rId3"/>
    <sheet name="작성가이드" sheetId="4" r:id="rId4"/>
    <sheet name="변경요약" sheetId="5" r:id="rId5"/>
  </sheets>
  <definedNames>
    <definedName name="_xlnm._FilterDatabase" localSheetId="0" hidden="1">문제은행!$A$1:$K$101</definedName>
    <definedName name="분류목록">분류체계!$A$2:$A$15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3" l="1"/>
  <c r="C4" i="3"/>
  <c r="C3" i="3"/>
  <c r="C2" i="3"/>
  <c r="C5" i="3" s="1"/>
  <c r="G17" i="2"/>
  <c r="F17" i="2"/>
  <c r="E17" i="2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3" i="3" l="1"/>
  <c r="D4" i="3"/>
  <c r="D2" i="3"/>
  <c r="D5" i="3" s="1"/>
</calcChain>
</file>

<file path=xl/sharedStrings.xml><?xml version="1.0" encoding="utf-8"?>
<sst xmlns="http://schemas.openxmlformats.org/spreadsheetml/2006/main" count="2091" uniqueCount="853">
  <si>
    <t>문항ID</t>
  </si>
  <si>
    <t>민원 내용</t>
  </si>
  <si>
    <t>정답 분류</t>
  </si>
  <si>
    <t>표시 부서</t>
  </si>
  <si>
    <t>오답후보1</t>
  </si>
  <si>
    <t>오답후보2</t>
  </si>
  <si>
    <t>오답후보3</t>
  </si>
  <si>
    <t>해설</t>
  </si>
  <si>
    <t>난이도</t>
  </si>
  <si>
    <t>사업영역</t>
  </si>
  <si>
    <t>출처</t>
  </si>
  <si>
    <t>검수상태</t>
  </si>
  <si>
    <t>c001</t>
  </si>
  <si>
    <t>검색된 특허의 출원인 이름이 실제와 다르게 나옵니다.</t>
  </si>
  <si>
    <t>데이터관리센터</t>
  </si>
  <si>
    <t>특허정보검색서비스(KIPRIS)</t>
  </si>
  <si>
    <t>특허넷시스템 운영</t>
  </si>
  <si>
    <t>특허데이터 오류 판단·수정은 데이터관리센터가 담당합니다.</t>
  </si>
  <si>
    <t>지식재산정보 활용촉진</t>
  </si>
  <si>
    <t>https://www.kipi.or.kr/EgovPageLink.do?link=/main/sub03/sub010201</t>
  </si>
  <si>
    <t>검수완료</t>
  </si>
  <si>
    <t>c002</t>
  </si>
  <si>
    <t>미국·유럽 특허 원문 데이터는 어디서 구축하나요?</t>
  </si>
  <si>
    <t>지식재산 정보화 국제협력</t>
  </si>
  <si>
    <t>특허정보활용서비스(KIPRISPlus)</t>
  </si>
  <si>
    <r>
      <rPr>
        <sz val="10"/>
        <rFont val="Arial"/>
        <charset val="1"/>
      </rPr>
      <t xml:space="preserve">IP5 </t>
    </r>
    <r>
      <rPr>
        <sz val="10"/>
        <rFont val="Noto Sans CJK SC"/>
        <family val="2"/>
      </rPr>
      <t>등 해외 주요기관 데이터를 수집해 구축합니다</t>
    </r>
    <r>
      <rPr>
        <sz val="10"/>
        <rFont val="Arial"/>
        <charset val="1"/>
      </rPr>
      <t>.</t>
    </r>
  </si>
  <si>
    <t>c003</t>
  </si>
  <si>
    <t>연구소인데 특허 원천데이터를 제공받고 싶습니다.</t>
  </si>
  <si>
    <t>지식재산 통계서비스</t>
  </si>
  <si>
    <t>국내외 기관 대상 특허원천데이터 제공은 데이터관리센터입니다.</t>
  </si>
  <si>
    <t>c004</t>
  </si>
  <si>
    <t>특허 데이터를 국제표준 XML 서식으로 받고 싶습니다.</t>
  </si>
  <si>
    <t>지식재산처 데이터를 국제표준으로 가공·배포합니다.</t>
  </si>
  <si>
    <t>c005</t>
  </si>
  <si>
    <t>같은 특허가 두 건으로 중복 등록돼 있습니다.</t>
  </si>
  <si>
    <t>데이터 오류 발생 방지와 정비가 데이터관리센터 업무입니다.</t>
  </si>
  <si>
    <t>c006</t>
  </si>
  <si>
    <r>
      <rPr>
        <sz val="10"/>
        <rFont val="Arial"/>
        <charset val="1"/>
      </rPr>
      <t xml:space="preserve">IPC </t>
    </r>
    <r>
      <rPr>
        <sz val="10"/>
        <rFont val="Noto Sans CJK SC"/>
        <family val="2"/>
      </rPr>
      <t>분류 코드가 공보와 검색 결과에서 서로 다릅니다</t>
    </r>
    <r>
      <rPr>
        <sz val="10"/>
        <rFont val="Arial"/>
        <charset val="1"/>
      </rPr>
      <t>.</t>
    </r>
  </si>
  <si>
    <t>지식재산 정보화 R&amp;D</t>
  </si>
  <si>
    <t>데이터 정합성 검증과 오류 수정은 데이터관리센터 소관입니다.</t>
  </si>
  <si>
    <t>c007</t>
  </si>
  <si>
    <t>심사에 쓰이는 해외 선행문헌 DB는 누가 관리하나요?</t>
  </si>
  <si>
    <t>한국특허영문초록(KPA)</t>
  </si>
  <si>
    <t>심사·심판 지원을 위한 국내외 IP 데이터 구축을 담당합니다.</t>
  </si>
  <si>
    <t>c008</t>
  </si>
  <si>
    <t>데이터 품질 지표를 공개된 자료로 확인할 수 있나요?</t>
  </si>
  <si>
    <t>특허데이터 품질관리 업무는 데이터관리센터가 수행합니다.</t>
  </si>
  <si>
    <t>c009</t>
  </si>
  <si>
    <t>특허를 무료로 검색할 수 있는 사이트가 있나요?</t>
  </si>
  <si>
    <t>특허고객 상담서비스</t>
  </si>
  <si>
    <r>
      <rPr>
        <sz val="10"/>
        <rFont val="Arial"/>
        <charset val="1"/>
      </rPr>
      <t>KIPRIS</t>
    </r>
    <r>
      <rPr>
        <sz val="10"/>
        <rFont val="Noto Sans CJK SC"/>
        <family val="2"/>
      </rPr>
      <t>는 누구나 무료로 쓰는 대국민 특허정보 검색서비스입니다</t>
    </r>
    <r>
      <rPr>
        <sz val="10"/>
        <rFont val="Arial"/>
        <charset val="1"/>
      </rPr>
      <t>.</t>
    </r>
  </si>
  <si>
    <t>https://www.kipi.or.kr/EgovPageLink.do?link=/main/sub03/sub0101</t>
  </si>
  <si>
    <t>c010</t>
  </si>
  <si>
    <t>특허 검색이 처음인데 쉬운 검색 방법이 있나요?</t>
  </si>
  <si>
    <t>지식재산 기술지원</t>
  </si>
  <si>
    <t>일반·스마트·초보자·문장검색 등 수준별 검색을 제공합니다.</t>
  </si>
  <si>
    <t>c011</t>
  </si>
  <si>
    <t>관심 있는 기술의 신규 특허를 메일로 받고 싶습니다.</t>
  </si>
  <si>
    <t>검색식 메일링으로 신규 공보를 메일로 받습니다.</t>
  </si>
  <si>
    <t>c012</t>
  </si>
  <si>
    <t>검색 결과에 심사 진행 이력도 같이 나오나요?</t>
  </si>
  <si>
    <r>
      <rPr>
        <sz val="10"/>
        <rFont val="Arial"/>
        <charset val="1"/>
      </rPr>
      <t>KIPRIS</t>
    </r>
    <r>
      <rPr>
        <sz val="10"/>
        <rFont val="Noto Sans CJK SC"/>
        <family val="2"/>
      </rPr>
      <t xml:space="preserve">는 심사행정정보를 포함한 다양한 </t>
    </r>
    <r>
      <rPr>
        <sz val="10"/>
        <rFont val="Arial"/>
        <charset val="1"/>
      </rPr>
      <t xml:space="preserve">IP </t>
    </r>
    <r>
      <rPr>
        <sz val="10"/>
        <rFont val="Noto Sans CJK SC"/>
        <family val="2"/>
      </rPr>
      <t>정보를 제공합니다</t>
    </r>
    <r>
      <rPr>
        <sz val="10"/>
        <rFont val="Arial"/>
        <charset val="1"/>
      </rPr>
      <t>.</t>
    </r>
  </si>
  <si>
    <t>c013</t>
  </si>
  <si>
    <t>우리 회사 홈페이지에 특허 검색 기능을 넣고 싶습니다.</t>
  </si>
  <si>
    <r>
      <rPr>
        <sz val="10"/>
        <rFont val="Arial"/>
        <charset val="1"/>
      </rPr>
      <t xml:space="preserve">KIPRIS </t>
    </r>
    <r>
      <rPr>
        <sz val="10"/>
        <rFont val="Noto Sans CJK SC"/>
        <family val="2"/>
      </rPr>
      <t>연계로 외부 사이트에 검색을 제공합니다</t>
    </r>
    <r>
      <rPr>
        <sz val="10"/>
        <rFont val="Arial"/>
        <charset val="1"/>
      </rPr>
      <t>.</t>
    </r>
  </si>
  <si>
    <t>c014</t>
  </si>
  <si>
    <t>문장을 그대로 넣어 비슷한 특허를 찾을 수 있나요?</t>
  </si>
  <si>
    <t>문장검색 기능을 제공합니다.</t>
  </si>
  <si>
    <t>c015</t>
  </si>
  <si>
    <t>상표와 디자인도 같은 곳에서 검색되나요?</t>
  </si>
  <si>
    <r>
      <rPr>
        <sz val="10"/>
        <rFont val="Arial"/>
        <charset val="1"/>
      </rPr>
      <t>KIPRIS</t>
    </r>
    <r>
      <rPr>
        <sz val="10"/>
        <rFont val="Noto Sans CJK SC"/>
        <family val="2"/>
      </rPr>
      <t>는 국내외 지식재산권 정보를 통합 검색합니다</t>
    </r>
    <r>
      <rPr>
        <sz val="10"/>
        <rFont val="Arial"/>
        <charset val="1"/>
      </rPr>
      <t>.</t>
    </r>
  </si>
  <si>
    <t>c016</t>
  </si>
  <si>
    <t>검색식을 어떻게 짜야 할지 모르겠습니다.</t>
  </si>
  <si>
    <t>추천검색식·검색식 저장 등 보조 기능을 제공합니다.</t>
  </si>
  <si>
    <t>c017</t>
  </si>
  <si>
    <t>논문 같은 비특허 자료도 검색되나요?</t>
  </si>
  <si>
    <t>비특허 정보(NPL)도 검색 대상에 포함됩니다.</t>
  </si>
  <si>
    <t>브로슈어 p.07-08 / 미확인: 현행 KIPRIS 페이지에 비특허문헌(NPL) 검색 기능 언급 없음</t>
  </si>
  <si>
    <t>보류</t>
  </si>
  <si>
    <t>c018</t>
  </si>
  <si>
    <t>무료 특허 검색 사이트가 열리지 않습니다.</t>
  </si>
  <si>
    <r>
      <rPr>
        <sz val="10"/>
        <rFont val="Arial"/>
        <charset val="1"/>
      </rPr>
      <t>IP</t>
    </r>
    <r>
      <rPr>
        <sz val="10"/>
        <rFont val="Noto Sans CJK SC"/>
        <family val="2"/>
      </rPr>
      <t>정보통합센터</t>
    </r>
  </si>
  <si>
    <t>대국민 검색서비스 KIPRIS의 운영 주체가 대응합니다.</t>
  </si>
  <si>
    <t>c019</t>
  </si>
  <si>
    <t>종이로 낸 출원서류가 시스템에 안 보입니다.</t>
  </si>
  <si>
    <t>특허문서전자화센터</t>
  </si>
  <si>
    <t>지식재산처 제출 서면서류의 전자화를 담당합니다.</t>
  </si>
  <si>
    <t>https://www.kipi.or.kr/EgovPageLink.do?link=/main/sub03/sub010202</t>
  </si>
  <si>
    <t>c020</t>
  </si>
  <si>
    <t>손으로 쓴 서류도 전산으로 처리가 되나요?</t>
  </si>
  <si>
    <t>서면서류를 스캐닝·입력해 전자화합니다.</t>
  </si>
  <si>
    <t>c021</t>
  </si>
  <si>
    <t>스캔된 도면이 흐려서 알아볼 수 없습니다.</t>
  </si>
  <si>
    <t>스캐닝과 전자화데이터 품질관리를 수행합니다.</t>
  </si>
  <si>
    <t>c022</t>
  </si>
  <si>
    <t>고령자인데 전자출원 하는 법을 배우고 싶습니다.</t>
  </si>
  <si>
    <t>정보화 취약계층 대상 전자출원 교육을 제공합니다.</t>
  </si>
  <si>
    <t>c023</t>
  </si>
  <si>
    <t>우편으로 낸 서류가 심사에 바로 반영되나요?</t>
  </si>
  <si>
    <t>전자화 문서는 특허넷에서 활용 가능하도록 처리됩니다.</t>
  </si>
  <si>
    <t>c024</t>
  </si>
  <si>
    <t>우편으로 보낸 보정서 접수 여부를 알고 싶습니다.</t>
  </si>
  <si>
    <t>서면 서류의 접수·전자화 처리 과정을 담당합니다.</t>
  </si>
  <si>
    <t>c025</t>
  </si>
  <si>
    <t>제출한 서류가 시스템에 오타로 입력됐습니다.</t>
  </si>
  <si>
    <t>전자화 데이터의 교정 및 검증을 수행합니다.</t>
  </si>
  <si>
    <t>c026</t>
  </si>
  <si>
    <t>장애인 단체인데 특허정보 검색 교육을 요청합니다.</t>
  </si>
  <si>
    <t>정보화 취약계층 대상 특허정보 검색 교육을 운영합니다.</t>
  </si>
  <si>
    <t>c027</t>
  </si>
  <si>
    <t>한국 특허를 영어 요약으로 볼 수 있나요?</t>
  </si>
  <si>
    <t>PCT 국제출원문서 번역</t>
  </si>
  <si>
    <r>
      <rPr>
        <sz val="10"/>
        <rFont val="Arial"/>
        <charset val="1"/>
      </rPr>
      <t>KPA</t>
    </r>
    <r>
      <rPr>
        <sz val="10"/>
        <rFont val="Noto Sans CJK SC"/>
        <family val="2"/>
      </rPr>
      <t>는 한국특허공보의 영문요약서입니다</t>
    </r>
    <r>
      <rPr>
        <sz val="10"/>
        <rFont val="Arial"/>
        <charset val="1"/>
      </rPr>
      <t>.</t>
    </r>
  </si>
  <si>
    <t>https://www.kipi.or.kr/EgovPageLink.do?link=/main/sub03/sub010203</t>
  </si>
  <si>
    <t>c028</t>
  </si>
  <si>
    <t>해외 특허청도 우리 특허를 영어로 볼 수 있나요?</t>
  </si>
  <si>
    <t>해외 특허청·유관기관에 무상 보급하고 있습니다.</t>
  </si>
  <si>
    <t>c029</t>
  </si>
  <si>
    <t>한국 특허의 영어 자료는 유료인가요?</t>
  </si>
  <si>
    <r>
      <rPr>
        <sz val="10"/>
        <rFont val="Arial"/>
        <charset val="1"/>
      </rPr>
      <t>KPA</t>
    </r>
    <r>
      <rPr>
        <sz val="10"/>
        <rFont val="Noto Sans CJK SC"/>
        <family val="2"/>
      </rPr>
      <t xml:space="preserve">는 </t>
    </r>
    <r>
      <rPr>
        <sz val="10"/>
        <rFont val="Arial"/>
        <charset val="1"/>
      </rPr>
      <t>KIPRIS</t>
    </r>
    <r>
      <rPr>
        <sz val="10"/>
        <rFont val="Noto Sans CJK SC"/>
        <family val="2"/>
      </rPr>
      <t>를 통해 무료로 검색할 수 있습니다</t>
    </r>
    <r>
      <rPr>
        <sz val="10"/>
        <rFont val="Arial"/>
        <charset val="1"/>
      </rPr>
      <t>.</t>
    </r>
  </si>
  <si>
    <t>c030</t>
  </si>
  <si>
    <t>도면 안의 한글 표기는 영어로 어떻게 되나요?</t>
  </si>
  <si>
    <t>대표도에 기재된 국문표기를 영문으로 번역합니다.</t>
  </si>
  <si>
    <t>c031</t>
  </si>
  <si>
    <t>우리 특허가 해외에서 보호받게 하려면 영문 자료가 필요합니다.</t>
  </si>
  <si>
    <r>
      <rPr>
        <sz val="10"/>
        <rFont val="Arial"/>
        <charset val="1"/>
      </rPr>
      <t>KPA</t>
    </r>
    <r>
      <rPr>
        <sz val="10"/>
        <rFont val="Noto Sans CJK SC"/>
        <family val="2"/>
      </rPr>
      <t>는 국내 특허기술의 해외 보호 강화를 목적으로 발간됩니다</t>
    </r>
    <r>
      <rPr>
        <sz val="10"/>
        <rFont val="Arial"/>
        <charset val="1"/>
      </rPr>
      <t>.</t>
    </r>
  </si>
  <si>
    <t>c032</t>
  </si>
  <si>
    <t>영어로 된 요약서의 출원번호가 틀렸습니다.</t>
  </si>
  <si>
    <r>
      <rPr>
        <sz val="10"/>
        <rFont val="Arial"/>
        <charset val="1"/>
      </rPr>
      <t xml:space="preserve">KPA </t>
    </r>
    <r>
      <rPr>
        <sz val="10"/>
        <rFont val="Noto Sans CJK SC"/>
        <family val="2"/>
      </rPr>
      <t>제작 과정의 서지정보 제작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검수를 담당합니다</t>
    </r>
    <r>
      <rPr>
        <sz val="10"/>
        <rFont val="Arial"/>
        <charset val="1"/>
      </rPr>
      <t>.</t>
    </r>
  </si>
  <si>
    <t>c033</t>
  </si>
  <si>
    <t>우리 PCT 출원 요약서 영문본에 오류가 있습니다.</t>
  </si>
  <si>
    <t>한영 기계번역(K2E-PAT)</t>
  </si>
  <si>
    <r>
      <rPr>
        <sz val="10"/>
        <rFont val="Arial"/>
        <charset val="1"/>
      </rPr>
      <t xml:space="preserve">PCT </t>
    </r>
    <r>
      <rPr>
        <sz val="10"/>
        <rFont val="Noto Sans CJK SC"/>
        <family val="2"/>
      </rPr>
      <t>요약서 영문 제작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 xml:space="preserve">검수는 </t>
    </r>
    <r>
      <rPr>
        <sz val="10"/>
        <rFont val="Arial"/>
        <charset val="1"/>
      </rPr>
      <t>WIPO</t>
    </r>
    <r>
      <rPr>
        <sz val="10"/>
        <rFont val="Noto Sans CJK SC"/>
        <family val="2"/>
      </rPr>
      <t>사업팀이 맡습니다</t>
    </r>
    <r>
      <rPr>
        <sz val="10"/>
        <rFont val="Arial"/>
        <charset val="1"/>
      </rPr>
      <t>.</t>
    </r>
  </si>
  <si>
    <t>https://www.kipi.or.kr/EgovPageLink.do?link=/main/sub03/sub010402</t>
  </si>
  <si>
    <t>c034</t>
  </si>
  <si>
    <t>특허 공보 영문본을 대량으로 받고 싶습니다.</t>
  </si>
  <si>
    <r>
      <rPr>
        <sz val="10"/>
        <rFont val="Arial"/>
        <charset val="1"/>
      </rPr>
      <t xml:space="preserve">K2E-PAT </t>
    </r>
    <r>
      <rPr>
        <sz val="10"/>
        <rFont val="Noto Sans CJK SC"/>
        <family val="2"/>
      </rPr>
      <t>한영 기계번역으로 맞춤형 대량 제공이 가능합니다</t>
    </r>
    <r>
      <rPr>
        <sz val="10"/>
        <rFont val="Arial"/>
        <charset val="1"/>
      </rPr>
      <t>.</t>
    </r>
  </si>
  <si>
    <t>https://www.kipi.or.kr/EgovPageLink.do?link=/main/sub03/sub010401</t>
  </si>
  <si>
    <t>c035</t>
  </si>
  <si>
    <t>받은 영문 데이터의 전문용어가 어색합니다.</t>
  </si>
  <si>
    <t>특허전문 MT엔진을 지속 트레이닝해 개선합니다.</t>
  </si>
  <si>
    <t>c036</t>
  </si>
  <si>
    <r>
      <rPr>
        <sz val="10"/>
        <rFont val="Arial"/>
        <charset val="1"/>
      </rPr>
      <t xml:space="preserve">PCT </t>
    </r>
    <r>
      <rPr>
        <sz val="10"/>
        <rFont val="Noto Sans CJK SC"/>
        <family val="2"/>
      </rPr>
      <t>국제조사보고서 영문본이 필요합니다</t>
    </r>
    <r>
      <rPr>
        <sz val="10"/>
        <rFont val="Arial"/>
        <charset val="1"/>
      </rPr>
      <t>.</t>
    </r>
  </si>
  <si>
    <r>
      <rPr>
        <sz val="10"/>
        <rFont val="Arial"/>
        <charset val="1"/>
      </rPr>
      <t xml:space="preserve">PCT </t>
    </r>
    <r>
      <rPr>
        <sz val="10"/>
        <rFont val="Noto Sans CJK SC"/>
        <family val="2"/>
      </rPr>
      <t>국제출원문서 번역 서비스 과정에 포함됩니다</t>
    </r>
    <r>
      <rPr>
        <sz val="10"/>
        <rFont val="Arial"/>
        <charset val="1"/>
      </rPr>
      <t>.</t>
    </r>
  </si>
  <si>
    <t>c037</t>
  </si>
  <si>
    <t>실용신안 공보도 영문본이 제공되나요?</t>
  </si>
  <si>
    <t>특허·실용신안 공보를 영문으로 기계번역합니다.</t>
  </si>
  <si>
    <t>c038</t>
  </si>
  <si>
    <t>영문본은 WIPO에 어떻게 전달되나요?</t>
  </si>
  <si>
    <t>번역 후 WIPO 국제공개 절차로 이어집니다.</t>
  </si>
  <si>
    <t>c039</t>
  </si>
  <si>
    <t>우리 요구에 맞춰 영문화해 주실 수 있나요?</t>
  </si>
  <si>
    <t>고객 요청에 따라 번역물을 가공해 제공합니다.</t>
  </si>
  <si>
    <t>c040</t>
  </si>
  <si>
    <t>영문 공보 데이터를 우리 시스템에 넣고 싶습니다.</t>
  </si>
  <si>
    <t>맞춤형 가공과 대량 데이터 제공이 가능합니다.</t>
  </si>
  <si>
    <t>c041</t>
  </si>
  <si>
    <t>연도별 특허 출원 건수 통계를 보고 싶습니다.</t>
  </si>
  <si>
    <t>지식재산 통계정보를 생산·보급합니다.</t>
  </si>
  <si>
    <t>브로슈어 p.11-12 / 미확인: 지식재산 통계서비스가 현행 주요사업 메뉴에 없음</t>
  </si>
  <si>
    <t>c042</t>
  </si>
  <si>
    <t>특허 동향을 정리한 정기 간행물이 있나요?</t>
  </si>
  <si>
    <t>국제특허정보박람회(PATINEX)</t>
  </si>
  <si>
    <t>통계로 보는 특허동향을 연 1회 발간합니다.</t>
  </si>
  <si>
    <t>브로슈어 p.11-12 / 미확인: 통계로 보는 특허동향 발간 여부 확인 불가</t>
  </si>
  <si>
    <t>c043</t>
  </si>
  <si>
    <t>지식재산 통계 FOCUS는 얼마나 자주 나오나요?</t>
  </si>
  <si>
    <t>지식재산 통계 FOCUS는 연 2회 발간됩니다.</t>
  </si>
  <si>
    <t>브로슈어 p.11-12 / 미확인: 지식재산 통계 FOCUS 발간 주기 확인 불가</t>
  </si>
  <si>
    <t>c044</t>
  </si>
  <si>
    <t>통계를 웹에서 직접 조회할 수 있나요?</t>
  </si>
  <si>
    <t>지식재산 통계 온라인 서비스(ipstat.kipi.or.kr)를 운영합니다.</t>
  </si>
  <si>
    <t>브로슈어 p.11-12 / 미확인: ipstat.kipi.or.kr 접속 불가(오류 페이지)</t>
  </si>
  <si>
    <t>c045</t>
  </si>
  <si>
    <t>산업 분류별 특허 통계가 필요합니다.</t>
  </si>
  <si>
    <t>산업·경제 분야와 연계한 통계정보를 생산합니다.</t>
  </si>
  <si>
    <t>브로슈어 p.11-12 / 미확인: 산업분류별 통계 제공 여부 확인 불가</t>
  </si>
  <si>
    <t>c046</t>
  </si>
  <si>
    <t>정책 연구에 인용할 공식 통계 출처가 필요합니다.</t>
  </si>
  <si>
    <t>일원화된 보급체계로 공식 지식재산 통계를 제공합니다.</t>
  </si>
  <si>
    <t>브로슈어 p.11-12 / 미확인: 공식 통계 보급체계 확인 불가</t>
  </si>
  <si>
    <t>c047</t>
  </si>
  <si>
    <t>통계 수치가 다른 자료와 다르게 나옵니다.</t>
  </si>
  <si>
    <t>통계정보의 생산과 보급을 담당합니다.</t>
  </si>
  <si>
    <t>브로슈어 p.11-12 / 미확인: 통계 생산·보급 주체 확인 불가</t>
  </si>
  <si>
    <t>c048</t>
  </si>
  <si>
    <t>유관기관 IP 시스템을 한곳에서 운영한다고 들었습니다.</t>
  </si>
  <si>
    <r>
      <rPr>
        <sz val="10"/>
        <rFont val="Arial"/>
        <charset val="1"/>
      </rPr>
      <t>IP</t>
    </r>
    <r>
      <rPr>
        <sz val="10"/>
        <rFont val="Noto Sans CJK SC"/>
        <family val="2"/>
      </rPr>
      <t>정보시스템을 민간 클라우드에서 통합 운영합니다</t>
    </r>
    <r>
      <rPr>
        <sz val="10"/>
        <rFont val="Arial"/>
        <charset val="1"/>
      </rPr>
      <t>.</t>
    </r>
  </si>
  <si>
    <t>지식재산정보산업 육성/지원</t>
  </si>
  <si>
    <t>https://www.kipi.or.kr/EgovPageLink.do?link=/main/sub03/sub030200</t>
  </si>
  <si>
    <t>c049</t>
  </si>
  <si>
    <t>우리 기관 시스템을 입주시키려면 어떻게 하나요?</t>
  </si>
  <si>
    <t>입주기관 전산자원과 공동 인프라를 함께 운영합니다.</t>
  </si>
  <si>
    <t>c050</t>
  </si>
  <si>
    <t>서버 백업과 관제는 어디서 담당하나요?</t>
  </si>
  <si>
    <t>실시간 이상징후 모니터링과 보안관제를 수행합니다.</t>
  </si>
  <si>
    <t>c051</t>
  </si>
  <si>
    <r>
      <rPr>
        <sz val="10"/>
        <rFont val="Arial"/>
        <charset val="1"/>
      </rPr>
      <t xml:space="preserve">IP </t>
    </r>
    <r>
      <rPr>
        <sz val="10"/>
        <rFont val="Noto Sans CJK SC"/>
        <family val="2"/>
      </rPr>
      <t>분야 클라우드 서버를 쓰고 싶습니다</t>
    </r>
    <r>
      <rPr>
        <sz val="10"/>
        <rFont val="Arial"/>
        <charset val="1"/>
      </rPr>
      <t>.</t>
    </r>
  </si>
  <si>
    <t>민간 클라우드 환경에서 정보자원을 제공합니다.</t>
  </si>
  <si>
    <t>c052</t>
  </si>
  <si>
    <t>전산자원을 공동 활용하면 예산이 절감되나요?</t>
  </si>
  <si>
    <t>통합 운영으로 자원 활용 효율성을 높입니다.</t>
  </si>
  <si>
    <t>c053</t>
  </si>
  <si>
    <t>망 보안 정책 때문에 접속이 안 됩니다.</t>
  </si>
  <si>
    <t>방화벽 등 클라우드 보안시스템 정책을 관리합니다.</t>
  </si>
  <si>
    <t>c054</t>
  </si>
  <si>
    <t>특허 데이터를 Open API로 받고 싶습니다.</t>
  </si>
  <si>
    <r>
      <rPr>
        <sz val="10"/>
        <rFont val="Arial"/>
        <charset val="1"/>
      </rPr>
      <t>KIPRISPlus</t>
    </r>
    <r>
      <rPr>
        <sz val="10"/>
        <rFont val="Noto Sans CJK SC"/>
        <family val="2"/>
      </rPr>
      <t xml:space="preserve">는 </t>
    </r>
    <r>
      <rPr>
        <sz val="10"/>
        <rFont val="Arial"/>
        <charset val="1"/>
      </rPr>
      <t>Open API(SOAP/REST)</t>
    </r>
    <r>
      <rPr>
        <sz val="10"/>
        <rFont val="Noto Sans CJK SC"/>
        <family val="2"/>
      </rPr>
      <t xml:space="preserve">로 </t>
    </r>
    <r>
      <rPr>
        <sz val="10"/>
        <rFont val="Arial"/>
        <charset val="1"/>
      </rPr>
      <t>IP</t>
    </r>
    <r>
      <rPr>
        <sz val="10"/>
        <rFont val="Noto Sans CJK SC"/>
        <family val="2"/>
      </rPr>
      <t>정보를 제공합니다</t>
    </r>
    <r>
      <rPr>
        <sz val="10"/>
        <rFont val="Arial"/>
        <charset val="1"/>
      </rPr>
      <t>.</t>
    </r>
  </si>
  <si>
    <t>https://www.kipi.or.kr/EgovPageLink.do?link=/main/sub03/sub0301</t>
  </si>
  <si>
    <t>c055</t>
  </si>
  <si>
    <r>
      <rPr>
        <sz val="10"/>
        <rFont val="Arial"/>
        <charset val="1"/>
      </rPr>
      <t xml:space="preserve">CSV </t>
    </r>
    <r>
      <rPr>
        <sz val="10"/>
        <rFont val="Noto Sans CJK SC"/>
        <family val="2"/>
      </rPr>
      <t>형태로 대량 특허 데이터가 필요합니다</t>
    </r>
    <r>
      <rPr>
        <sz val="10"/>
        <rFont val="Arial"/>
        <charset val="1"/>
      </rPr>
      <t>.</t>
    </r>
  </si>
  <si>
    <t>벌크데이터(CSV, XML, PDF)를 제공합니다.</t>
  </si>
  <si>
    <t>c056</t>
  </si>
  <si>
    <r>
      <rPr>
        <sz val="10"/>
        <rFont val="Arial"/>
        <charset val="1"/>
      </rPr>
      <t xml:space="preserve">LOD </t>
    </r>
    <r>
      <rPr>
        <sz val="10"/>
        <rFont val="Noto Sans CJK SC"/>
        <family val="2"/>
      </rPr>
      <t>방식으로 데이터를 연계하고 싶습니다</t>
    </r>
    <r>
      <rPr>
        <sz val="10"/>
        <rFont val="Arial"/>
        <charset val="1"/>
      </rPr>
      <t>.</t>
    </r>
  </si>
  <si>
    <r>
      <rPr>
        <sz val="10"/>
        <rFont val="Arial"/>
        <charset val="1"/>
      </rPr>
      <t xml:space="preserve">LOD(Linked Open Data) </t>
    </r>
    <r>
      <rPr>
        <sz val="10"/>
        <rFont val="Noto Sans CJK SC"/>
        <family val="2"/>
      </rPr>
      <t>방식 제공을 지원합니다</t>
    </r>
    <r>
      <rPr>
        <sz val="10"/>
        <rFont val="Arial"/>
        <charset val="1"/>
      </rPr>
      <t>.</t>
    </r>
  </si>
  <si>
    <t>c057</t>
  </si>
  <si>
    <t>스타트업인데 특허 데이터로 서비스를 만들려고 합니다.</t>
  </si>
  <si>
    <t>기업이 IP 데이터로 신규 상품·서비스를 창출하도록 지원합니다.</t>
  </si>
  <si>
    <t>c058</t>
  </si>
  <si>
    <r>
      <rPr>
        <sz val="10"/>
        <rFont val="Arial"/>
        <charset val="1"/>
      </rPr>
      <t xml:space="preserve">API </t>
    </r>
    <r>
      <rPr>
        <sz val="10"/>
        <rFont val="Noto Sans CJK SC"/>
        <family val="2"/>
      </rPr>
      <t>인증키 발급은 어디서 받나요</t>
    </r>
    <r>
      <rPr>
        <sz val="10"/>
        <rFont val="Arial"/>
        <charset val="1"/>
      </rPr>
      <t>?</t>
    </r>
  </si>
  <si>
    <r>
      <rPr>
        <sz val="10"/>
        <rFont val="Arial"/>
        <charset val="1"/>
      </rPr>
      <t>IP</t>
    </r>
    <r>
      <rPr>
        <sz val="10"/>
        <rFont val="Noto Sans CJK SC"/>
        <family val="2"/>
      </rPr>
      <t>정보 개방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유통 플랫폼에서 데이터 이용을 지원합니다</t>
    </r>
    <r>
      <rPr>
        <sz val="10"/>
        <rFont val="Arial"/>
        <charset val="1"/>
      </rPr>
      <t>.</t>
    </r>
  </si>
  <si>
    <t>브로슈어 p.15-16 / 미확인: Open API 인증키 발급 절차가 사업 소개 페이지에 없음</t>
  </si>
  <si>
    <t>c059</t>
  </si>
  <si>
    <t>금융기관인데 기술금융에 특허정보를 쓰고 싶습니다.</t>
  </si>
  <si>
    <t>금융기관 등 다양한 수요자의 IP정보 활용을 지원합니다.</t>
  </si>
  <si>
    <t>c060</t>
  </si>
  <si>
    <t>해외 특허정보도 API로 제공되나요?</t>
  </si>
  <si>
    <t>해외특허정보를 포함해 개방·유통합니다.</t>
  </si>
  <si>
    <t>c061</t>
  </si>
  <si>
    <t>실시간으로 갱신되는 데이터가 필요합니다.</t>
  </si>
  <si>
    <r>
      <rPr>
        <sz val="10"/>
        <rFont val="Arial"/>
        <charset val="1"/>
      </rPr>
      <t>Open API</t>
    </r>
    <r>
      <rPr>
        <sz val="10"/>
        <rFont val="Noto Sans CJK SC"/>
        <family val="2"/>
      </rPr>
      <t>로 필요한 정보를 요청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응답받습니다</t>
    </r>
    <r>
      <rPr>
        <sz val="10"/>
        <rFont val="Arial"/>
        <charset val="1"/>
      </rPr>
      <t>.</t>
    </r>
  </si>
  <si>
    <t>c062</t>
  </si>
  <si>
    <t>특허정보 업계 사람들을 만날 자리가 있나요?</t>
  </si>
  <si>
    <r>
      <rPr>
        <sz val="10"/>
        <rFont val="Arial"/>
        <charset val="1"/>
      </rPr>
      <t>PATINEX</t>
    </r>
    <r>
      <rPr>
        <sz val="10"/>
        <rFont val="Noto Sans CJK SC"/>
        <family val="2"/>
      </rPr>
      <t>는 국내 최대 특허정보 박람회입니다</t>
    </r>
    <r>
      <rPr>
        <sz val="10"/>
        <rFont val="Arial"/>
        <charset val="1"/>
      </rPr>
      <t>.</t>
    </r>
  </si>
  <si>
    <t>https://www.kipi.or.kr/EgovPageLink.do?link=/main/sub03/sub0303</t>
  </si>
  <si>
    <t>c063</t>
  </si>
  <si>
    <t>이 행사는 언제부터 열렸나요?</t>
  </si>
  <si>
    <r>
      <rPr>
        <sz val="10"/>
        <rFont val="Arial"/>
        <charset val="1"/>
      </rPr>
      <t>2005</t>
    </r>
    <r>
      <rPr>
        <sz val="10"/>
        <rFont val="Noto Sans CJK SC"/>
        <family val="2"/>
      </rPr>
      <t>년부터 개최되고 있습니다</t>
    </r>
    <r>
      <rPr>
        <sz val="10"/>
        <rFont val="Arial"/>
        <charset val="1"/>
      </rPr>
      <t>.</t>
    </r>
  </si>
  <si>
    <t>c064</t>
  </si>
  <si>
    <r>
      <rPr>
        <sz val="10"/>
        <rFont val="Arial"/>
        <charset val="1"/>
      </rPr>
      <t xml:space="preserve">IP </t>
    </r>
    <r>
      <rPr>
        <sz val="10"/>
        <rFont val="Noto Sans CJK SC"/>
        <family val="2"/>
      </rPr>
      <t>서비스 기업인데 부스를 내고 싶습니다</t>
    </r>
    <r>
      <rPr>
        <sz val="10"/>
        <rFont val="Arial"/>
        <charset val="1"/>
      </rPr>
      <t>.</t>
    </r>
  </si>
  <si>
    <t>전시·컨퍼런스·부대행사로 시장개척을 지원합니다.</t>
  </si>
  <si>
    <t>c065</t>
  </si>
  <si>
    <t>해외 특허정보 전문가와 교류할 기회가 있나요?</t>
  </si>
  <si>
    <t>국내외 지식재산 전문가 네트워크의 장을 제공합니다.</t>
  </si>
  <si>
    <t>c066</t>
  </si>
  <si>
    <t>작년 컨퍼런스 발표자료를 구할 수 있나요?</t>
  </si>
  <si>
    <r>
      <rPr>
        <sz val="10"/>
        <rFont val="Arial"/>
        <charset val="1"/>
      </rPr>
      <t xml:space="preserve">PATINEX </t>
    </r>
    <r>
      <rPr>
        <sz val="10"/>
        <rFont val="Noto Sans CJK SC"/>
        <family val="2"/>
      </rPr>
      <t>컨퍼런스 운영 주체가 자료를 관리합니다</t>
    </r>
    <r>
      <rPr>
        <sz val="10"/>
        <rFont val="Arial"/>
        <charset val="1"/>
      </rPr>
      <t>.</t>
    </r>
  </si>
  <si>
    <t>c067</t>
  </si>
  <si>
    <r>
      <rPr>
        <sz val="10"/>
        <rFont val="Arial"/>
        <charset val="1"/>
      </rPr>
      <t>AI</t>
    </r>
    <r>
      <rPr>
        <sz val="10"/>
        <rFont val="Noto Sans CJK SC"/>
        <family val="2"/>
      </rPr>
      <t>로 특허를 자동 분류하는 기술이 있나요</t>
    </r>
    <r>
      <rPr>
        <sz val="10"/>
        <rFont val="Arial"/>
        <charset val="1"/>
      </rPr>
      <t>?</t>
    </r>
  </si>
  <si>
    <t>기술분류 등 인공지능 모델을 연구개발합니다.</t>
  </si>
  <si>
    <t>https://www.kipi.or.kr/EgovPageLink.do?link=/main/sub03/sub0304</t>
  </si>
  <si>
    <t>c068</t>
  </si>
  <si>
    <t>비슷한 도면을 자동으로 찾아주는 기능이 궁금합니다.</t>
  </si>
  <si>
    <t>도면 유사 추출 기술을 연구개발하고 있습니다.</t>
  </si>
  <si>
    <t>브로슈어 p.17-18 / 미확인: 현행 R&amp;D 페이지에 도면 유사 추출 과제 언급 없음</t>
  </si>
  <si>
    <t>c069</t>
  </si>
  <si>
    <r>
      <rPr>
        <sz val="10"/>
        <rFont val="Arial"/>
        <charset val="1"/>
      </rPr>
      <t xml:space="preserve">AI </t>
    </r>
    <r>
      <rPr>
        <sz val="10"/>
        <rFont val="Noto Sans CJK SC"/>
        <family val="2"/>
      </rPr>
      <t>학습용 특허 데이터셋이 있나요</t>
    </r>
    <r>
      <rPr>
        <sz val="10"/>
        <rFont val="Arial"/>
        <charset val="1"/>
      </rPr>
      <t>?</t>
    </r>
  </si>
  <si>
    <t>인공지능 학습용 데이터를 연구·구축합니다.</t>
  </si>
  <si>
    <t>c070</t>
  </si>
  <si>
    <t>사람 대신 자동으로 답해주는 창구가 있나요?</t>
  </si>
  <si>
    <t>챗봇상담 서비스를 365일 24시간 제공합니다.</t>
  </si>
  <si>
    <t>특허행정 정보화 및 업무지원</t>
  </si>
  <si>
    <t>https://www.kipi.or.kr/EgovPageLink.do?link=/main/sub03/sub0202</t>
  </si>
  <si>
    <t>c071</t>
  </si>
  <si>
    <t>특허 기술용어 사전을 활용하고 싶습니다.</t>
  </si>
  <si>
    <t>특허기술용어사전을 학습용 데이터로 구축합니다.</t>
  </si>
  <si>
    <t>c072</t>
  </si>
  <si>
    <t>지능형 특허검색은 기존 검색과 무엇이 다른가요?</t>
  </si>
  <si>
    <t>유사특허검색 등 인공지능 모델을 연구개발합니다.</t>
  </si>
  <si>
    <t>c073</t>
  </si>
  <si>
    <t>온라인으로 특허를 출원하려는데 시스템이 멈췄습니다.</t>
  </si>
  <si>
    <t>출원·심사·심판을 온라인 처리하는 특허넷 시스템을 운영합니다.</t>
  </si>
  <si>
    <t>https://www.kipi.or.kr/EgovPageLink.do?link=/main/sub03/sub0201</t>
  </si>
  <si>
    <t>c074</t>
  </si>
  <si>
    <t>심판 청구를 인터넷으로 할 수 있나요?</t>
  </si>
  <si>
    <t>특허넷은 출원·심사·심판 등 특허행정 전반을 처리합니다.</t>
  </si>
  <si>
    <t>c075</t>
  </si>
  <si>
    <t>밤에도 전자출원이 가능한가요?</t>
  </si>
  <si>
    <r>
      <rPr>
        <sz val="10"/>
        <rFont val="Arial"/>
        <charset val="1"/>
      </rPr>
      <t>24</t>
    </r>
    <r>
      <rPr>
        <sz val="10"/>
        <rFont val="Noto Sans CJK SC"/>
        <family val="2"/>
      </rPr>
      <t xml:space="preserve">시간 </t>
    </r>
    <r>
      <rPr>
        <sz val="10"/>
        <rFont val="Arial"/>
        <charset val="1"/>
      </rPr>
      <t>365</t>
    </r>
    <r>
      <rPr>
        <sz val="10"/>
        <rFont val="Noto Sans CJK SC"/>
        <family val="2"/>
      </rPr>
      <t>일 안정적으로 운영됩니다</t>
    </r>
    <r>
      <rPr>
        <sz val="10"/>
        <rFont val="Arial"/>
        <charset val="1"/>
      </rPr>
      <t>.</t>
    </r>
  </si>
  <si>
    <t>c076</t>
  </si>
  <si>
    <t>출원 처리 시스템은 어떻게 구성돼 있나요?</t>
  </si>
  <si>
    <t>특허넷은 응용시스템과 기반시스템으로 구성됩니다.</t>
  </si>
  <si>
    <t>c077</t>
  </si>
  <si>
    <t>출원 접수 번호가 발급되지 않습니다.</t>
  </si>
  <si>
    <t>출원접수 처리는 특허넷 응용시스템에서 이뤄집니다.</t>
  </si>
  <si>
    <t>c078</t>
  </si>
  <si>
    <t>전자출원 프로그램 설치 오류가 납니다.</t>
  </si>
  <si>
    <r>
      <rPr>
        <sz val="10"/>
        <rFont val="Arial"/>
        <charset val="1"/>
      </rPr>
      <t>PC</t>
    </r>
    <r>
      <rPr>
        <sz val="10"/>
        <rFont val="Noto Sans CJK SC"/>
        <family val="2"/>
      </rPr>
      <t>원격상담으로 전자출원</t>
    </r>
    <r>
      <rPr>
        <sz val="10"/>
        <rFont val="Arial"/>
        <charset val="1"/>
      </rPr>
      <t xml:space="preserve">SW </t>
    </r>
    <r>
      <rPr>
        <sz val="10"/>
        <rFont val="Noto Sans CJK SC"/>
        <family val="2"/>
      </rPr>
      <t>오류를 해결합니다</t>
    </r>
    <r>
      <rPr>
        <sz val="10"/>
        <rFont val="Arial"/>
        <charset val="1"/>
      </rPr>
      <t>.</t>
    </r>
  </si>
  <si>
    <t>c079</t>
  </si>
  <si>
    <t>등록했는데 온라인에 반영되지 않았습니다.</t>
  </si>
  <si>
    <t>등록을 포함한 특허행정 처리는 특허넷에서 수행됩니다.</t>
  </si>
  <si>
    <t>c080</t>
  </si>
  <si>
    <t>시스템 점검 일정을 미리 알 수 있나요?</t>
  </si>
  <si>
    <t>특허넷 운영·유지관리 주체가 일정을 안내합니다.</t>
  </si>
  <si>
    <t>c081</t>
  </si>
  <si>
    <t>문의 전화가 계속 통화 중입니다.</t>
  </si>
  <si>
    <t>특허고객 상담 접수·응대를 담당합니다.</t>
  </si>
  <si>
    <t>c082</t>
  </si>
  <si>
    <t>출원 절차를 처음부터 설명해줄 사람이 필요합니다.</t>
  </si>
  <si>
    <t>특허고객 대상 상담서비스를 제공합니다.</t>
  </si>
  <si>
    <t>c083</t>
  </si>
  <si>
    <t>안내받은 내용이 지난번과 다릅니다.</t>
  </si>
  <si>
    <t>상담 품질과 응대는 상담서비스 소관입니다.</t>
  </si>
  <si>
    <t>c084</t>
  </si>
  <si>
    <t>통화가 어려운데 나중에 연락받을 수 있나요?</t>
  </si>
  <si>
    <t>상담 접수 절차를 안내합니다.</t>
  </si>
  <si>
    <t>c085</t>
  </si>
  <si>
    <t>어느 부서에 물어봐야 할지 모르겠습니다.</t>
  </si>
  <si>
    <t>창구가 불분명한 문의는 특허고객 상담서비스가 1차로 안내합니다.</t>
  </si>
  <si>
    <t>c086</t>
  </si>
  <si>
    <t>외국어로도 문의할 수 있나요?</t>
  </si>
  <si>
    <t>특허고객 상담서비스에서 상담 범위를 안내합니다.</t>
  </si>
  <si>
    <r>
      <rPr>
        <sz val="10"/>
        <rFont val="Arial"/>
        <charset val="1"/>
      </rPr>
      <t xml:space="preserve">kipi.or.kr </t>
    </r>
    <r>
      <rPr>
        <sz val="10"/>
        <rFont val="Noto Sans CJK SC"/>
        <family val="2"/>
      </rPr>
      <t xml:space="preserve">주요사업 </t>
    </r>
    <r>
      <rPr>
        <sz val="10"/>
        <rFont val="Arial"/>
        <charset val="1"/>
      </rPr>
      <t xml:space="preserve">/ </t>
    </r>
    <r>
      <rPr>
        <sz val="10"/>
        <rFont val="Noto Sans CJK SC"/>
        <family val="2"/>
      </rPr>
      <t>미확인</t>
    </r>
    <r>
      <rPr>
        <sz val="10"/>
        <rFont val="Arial"/>
        <charset val="1"/>
      </rPr>
      <t xml:space="preserve">: </t>
    </r>
    <r>
      <rPr>
        <sz val="10"/>
        <rFont val="Noto Sans CJK SC"/>
        <family val="2"/>
      </rPr>
      <t>외국어 상담 제공 여부 상담 페이지에 명시 없음</t>
    </r>
  </si>
  <si>
    <t>c087</t>
  </si>
  <si>
    <t>안내받은 내용에 불만을 접수하고 싶습니다.</t>
  </si>
  <si>
    <t>상담 관련 민원은 상담서비스가 접수합니다.</t>
  </si>
  <si>
    <t>c088</t>
  </si>
  <si>
    <t>지난번 문의 내용을 다시 확인할 수 있나요?</t>
  </si>
  <si>
    <t>상담 이력 확인은 상담서비스에 문의합니다.</t>
  </si>
  <si>
    <r>
      <rPr>
        <sz val="10"/>
        <rFont val="Arial"/>
        <charset val="1"/>
      </rPr>
      <t xml:space="preserve">kipi.or.kr </t>
    </r>
    <r>
      <rPr>
        <sz val="10"/>
        <rFont val="Noto Sans CJK SC"/>
        <family val="2"/>
      </rPr>
      <t xml:space="preserve">주요사업 </t>
    </r>
    <r>
      <rPr>
        <sz val="10"/>
        <rFont val="Arial"/>
        <charset val="1"/>
      </rPr>
      <t xml:space="preserve">/ </t>
    </r>
    <r>
      <rPr>
        <sz val="10"/>
        <rFont val="Noto Sans CJK SC"/>
        <family val="2"/>
      </rPr>
      <t>미확인</t>
    </r>
    <r>
      <rPr>
        <sz val="10"/>
        <rFont val="Arial"/>
        <charset val="1"/>
      </rPr>
      <t xml:space="preserve">: </t>
    </r>
    <r>
      <rPr>
        <sz val="10"/>
        <rFont val="Noto Sans CJK SC"/>
        <family val="2"/>
      </rPr>
      <t>상담 이력 조회 서비스 상담 페이지에 명시 없음</t>
    </r>
  </si>
  <si>
    <t>c089</t>
  </si>
  <si>
    <t>개발도상국 특허청인데 정보화 컨설팅을 받고 싶습니다.</t>
  </si>
  <si>
    <t>협력 대상국에 특허행정 정보화 컨설팅을 제공합니다.</t>
  </si>
  <si>
    <t>https://www.kipi.or.kr/EgovPageLink.do?link=/main/sub03/sub0305</t>
  </si>
  <si>
    <t>c090</t>
  </si>
  <si>
    <t>한국의 특허 시스템을 우리나라에 도입하고 싶습니다.</t>
  </si>
  <si>
    <t>정보시스템 구축 지원 사업을 수행합니다.</t>
  </si>
  <si>
    <t>c091</t>
  </si>
  <si>
    <t>시스템 구축을 지원한 나라가 어디인가요?</t>
  </si>
  <si>
    <r>
      <rPr>
        <sz val="10"/>
        <rFont val="Arial"/>
        <charset val="1"/>
      </rPr>
      <t>UAE</t>
    </r>
    <r>
      <rPr>
        <sz val="10"/>
        <rFont val="Noto Sans CJK SC"/>
        <family val="2"/>
      </rPr>
      <t xml:space="preserve">와 </t>
    </r>
    <r>
      <rPr>
        <sz val="10"/>
        <rFont val="Arial"/>
        <charset val="1"/>
      </rPr>
      <t>ARIPO</t>
    </r>
    <r>
      <rPr>
        <sz val="10"/>
        <rFont val="Noto Sans CJK SC"/>
        <family val="2"/>
      </rPr>
      <t>에 시스템 구축을 지원했습니다</t>
    </r>
    <r>
      <rPr>
        <sz val="10"/>
        <rFont val="Arial"/>
        <charset val="1"/>
      </rPr>
      <t>.</t>
    </r>
  </si>
  <si>
    <t>브로슈어 p.21-22 / 미확인: UAE·ARIPO 등 구축 지원 국가명 현행 페이지에 없음</t>
  </si>
  <si>
    <t>c092</t>
  </si>
  <si>
    <t>정보화 컨설팅은 몇 개국에 제공했나요?</t>
  </si>
  <si>
    <r>
      <rPr>
        <sz val="10"/>
        <rFont val="Arial"/>
        <charset val="1"/>
      </rPr>
      <t>13</t>
    </r>
    <r>
      <rPr>
        <sz val="10"/>
        <rFont val="Noto Sans CJK SC"/>
        <family val="2"/>
      </rPr>
      <t xml:space="preserve">개국에 </t>
    </r>
    <r>
      <rPr>
        <sz val="10"/>
        <rFont val="Arial"/>
        <charset val="1"/>
      </rPr>
      <t xml:space="preserve">IP </t>
    </r>
    <r>
      <rPr>
        <sz val="10"/>
        <rFont val="Noto Sans CJK SC"/>
        <family val="2"/>
      </rPr>
      <t>자동화 시스템 컨설팅을 제공했습니다</t>
    </r>
    <r>
      <rPr>
        <sz val="10"/>
        <rFont val="Arial"/>
        <charset val="1"/>
      </rPr>
      <t>.</t>
    </r>
  </si>
  <si>
    <t>브로슈어 p.21-22 / 미확인: 컨설팅 13개국 수치 현행 페이지에 없음</t>
  </si>
  <si>
    <t>c093</t>
  </si>
  <si>
    <t>해외 특허청과의 데이터 교환 협력을 문의합니다.</t>
  </si>
  <si>
    <t>국가 간 지식재산 정보화 국제협력을 담당합니다.</t>
  </si>
  <si>
    <t>c094</t>
  </si>
  <si>
    <t>국가 간 지식재산 격차 해소 사업에 참여하고 싶습니다.</t>
  </si>
  <si>
    <t>국제협력을 통한 지식재산 격차 해소를 추진합니다.</t>
  </si>
  <si>
    <t>c095</t>
  </si>
  <si>
    <t>보유하신 기술을 이전받고 싶습니다.</t>
  </si>
  <si>
    <t>기술이전 업무를 담당합니다.</t>
  </si>
  <si>
    <t>https://www.kipi.or.kr/EgovPageLink.do?link=/main/sub03/sub0401</t>
  </si>
  <si>
    <t>c096</t>
  </si>
  <si>
    <t>이전 가능한 기술 목록을 볼 수 있나요?</t>
  </si>
  <si>
    <t>보유기술목록을 공개하고 있습니다.</t>
  </si>
  <si>
    <t>c097</t>
  </si>
  <si>
    <t>기술 소개 자료를 받아볼 수 있나요?</t>
  </si>
  <si>
    <t>기술홍보자료를 제공합니다.</t>
  </si>
  <si>
    <t>c098</t>
  </si>
  <si>
    <t>최신 기술동향 자료가 필요합니다.</t>
  </si>
  <si>
    <t>최신기술동향 자료를 제공합니다.</t>
  </si>
  <si>
    <t>c099</t>
  </si>
  <si>
    <t>기술을 받으려면 어떤 절차를 거치나요?</t>
  </si>
  <si>
    <t>기술이전 관련 문의는 지식재산 기술지원에서 안내합니다.</t>
  </si>
  <si>
    <t>c100</t>
  </si>
  <si>
    <t>중소기업인데 활용할 만한 공공기술을 찾고 있습니다.</t>
  </si>
  <si>
    <t>보유기술목록과 기술이전으로 연결됩니다.</t>
  </si>
  <si>
    <t>c101</t>
  </si>
  <si>
    <t>심사관이 쓰는 검색시스템 데이터는 누가 만드나요?</t>
  </si>
  <si>
    <t>심사관 검색시스템 KOMPASS의 DB를 구축합니다.</t>
  </si>
  <si>
    <t>c102</t>
  </si>
  <si>
    <r>
      <rPr>
        <sz val="10"/>
        <rFont val="Arial"/>
        <charset val="1"/>
      </rPr>
      <t xml:space="preserve">IP5 </t>
    </r>
    <r>
      <rPr>
        <sz val="10"/>
        <rFont val="Noto Sans CJK SC"/>
        <family val="2"/>
      </rPr>
      <t>특허청 데이터도 들어와 있나요</t>
    </r>
    <r>
      <rPr>
        <sz val="10"/>
        <rFont val="Arial"/>
        <charset val="1"/>
      </rPr>
      <t>?</t>
    </r>
  </si>
  <si>
    <r>
      <rPr>
        <sz val="10"/>
        <rFont val="Arial"/>
        <charset val="1"/>
      </rPr>
      <t xml:space="preserve">IP5 </t>
    </r>
    <r>
      <rPr>
        <sz val="10"/>
        <rFont val="Noto Sans CJK SC"/>
        <family val="2"/>
      </rPr>
      <t>포함 해외 주요기관 데이터를 수집합니다</t>
    </r>
    <r>
      <rPr>
        <sz val="10"/>
        <rFont val="Arial"/>
        <charset val="1"/>
      </rPr>
      <t>.</t>
    </r>
  </si>
  <si>
    <t>c103</t>
  </si>
  <si>
    <t>오류가 반복되는 원인을 분석해 주시나요?</t>
  </si>
  <si>
    <t>오류 패턴을 분석해 재발을 방지합니다.</t>
  </si>
  <si>
    <t>c104</t>
  </si>
  <si>
    <t>해외 특허청에 한국 특허 데이터를 보내고 싶습니다.</t>
  </si>
  <si>
    <t>해외특허청·국내기관에 원천데이터를 제공합니다.</t>
  </si>
  <si>
    <t>c105</t>
  </si>
  <si>
    <t>국가 간 교환용으로 데이터를 표준화해 주시나요?</t>
  </si>
  <si>
    <t>국제표준을 준수해 가공한 뒤 제공합니다.</t>
  </si>
  <si>
    <t>c106</t>
  </si>
  <si>
    <t>데이터 오류 때문에 행정 신뢰가 걱정됩니다.</t>
  </si>
  <si>
    <t>데이터 오류 정비로 행정 신뢰를 제고합니다.</t>
  </si>
  <si>
    <t>c107</t>
  </si>
  <si>
    <t>정책 수립에 쓸 지식재산 데이터를 받고 싶습니다.</t>
  </si>
  <si>
    <t>활용가치 높은 데이터를 대내외에 제공합니다.</t>
  </si>
  <si>
    <t>c108</t>
  </si>
  <si>
    <t>휴대폰으로도 특허 검색이 되나요?</t>
  </si>
  <si>
    <t>반응형 웹으로 다양한 환경에서 검색합니다.</t>
  </si>
  <si>
    <t>c109</t>
  </si>
  <si>
    <t>한 번에 국내와 해외 특허를 같이 보고 싶습니다.</t>
  </si>
  <si>
    <t>통합검색으로 국내외 정보를 함께 확인합니다.</t>
  </si>
  <si>
    <t>c110</t>
  </si>
  <si>
    <t>거절결정서 원문을 볼 수 있나요?</t>
  </si>
  <si>
    <t>심사 진행 중간서류철을 열람할 수 있습니다.</t>
  </si>
  <si>
    <t>c111</t>
  </si>
  <si>
    <t>찾은 특허들을 따로 모아두고 싶습니다.</t>
  </si>
  <si>
    <t>마이폴더에 검색 결과를 보관할 수 있습니다.</t>
  </si>
  <si>
    <t>c112</t>
  </si>
  <si>
    <t>새 공보가 언제 나오는지 미리 알고 싶습니다.</t>
  </si>
  <si>
    <t>공보발간 예고 기능을 제공합니다.</t>
  </si>
  <si>
    <t>c113</t>
  </si>
  <si>
    <t>심결문에 개인정보가 그대로 있습니다.</t>
  </si>
  <si>
    <t>심결문 내 개인정보 비실명화를 수행합니다.</t>
  </si>
  <si>
    <t>c114</t>
  </si>
  <si>
    <t>처리 결과를 우편으로 확인받을 수 있나요?</t>
  </si>
  <si>
    <t>전자화결과통지서를 우편으로 발송합니다.</t>
  </si>
  <si>
    <t>c115</t>
  </si>
  <si>
    <t>상표 견본이 검색되게 하려면 어떻게 하나요?</t>
  </si>
  <si>
    <t>상표견본 검색용 키워드를 입력해 구축합니다.</t>
  </si>
  <si>
    <t>c116</t>
  </si>
  <si>
    <r>
      <rPr>
        <sz val="10"/>
        <rFont val="Arial"/>
        <charset val="1"/>
      </rPr>
      <t>Easy</t>
    </r>
    <r>
      <rPr>
        <sz val="10"/>
        <rFont val="Noto Sans CJK SC"/>
        <family val="2"/>
      </rPr>
      <t>출원으로 낸 명세서도 처리되나요</t>
    </r>
    <r>
      <rPr>
        <sz val="10"/>
        <rFont val="Arial"/>
        <charset val="1"/>
      </rPr>
      <t>?</t>
    </r>
  </si>
  <si>
    <t>온라인 제출서류의 명세서도 전자화합니다.</t>
  </si>
  <si>
    <t>c117</t>
  </si>
  <si>
    <t>지방인데 검색 교육을 받을 방법이 없을까요?</t>
  </si>
  <si>
    <t>지역 거점별 개인 이용자 초청교육을 운영합니다.</t>
  </si>
  <si>
    <t>c118</t>
  </si>
  <si>
    <r>
      <rPr>
        <sz val="10"/>
        <rFont val="Arial"/>
        <charset val="1"/>
      </rPr>
      <t xml:space="preserve">USPTO </t>
    </r>
    <r>
      <rPr>
        <sz val="10"/>
        <rFont val="Noto Sans CJK SC"/>
        <family val="2"/>
      </rPr>
      <t>검색을 도와줄 상담을 받고 싶습니다</t>
    </r>
    <r>
      <rPr>
        <sz val="10"/>
        <rFont val="Arial"/>
        <charset val="1"/>
      </rPr>
      <t>.</t>
    </r>
  </si>
  <si>
    <t>국내외 정보검색 상담을 함께 제공합니다.</t>
  </si>
  <si>
    <t>c119</t>
  </si>
  <si>
    <t>옛날 종이 서류의 원본 이미지가 필요합니다.</t>
  </si>
  <si>
    <t>스캐닝으로 디지털 원본이미지를 구축합니다.</t>
  </si>
  <si>
    <t>c120</t>
  </si>
  <si>
    <r>
      <rPr>
        <sz val="10"/>
        <rFont val="Arial"/>
        <charset val="1"/>
      </rPr>
      <t>1980</t>
    </r>
    <r>
      <rPr>
        <sz val="10"/>
        <rFont val="Noto Sans CJK SC"/>
        <family val="2"/>
      </rPr>
      <t>년대 등록특허도 영어 자료가 있나요</t>
    </r>
    <r>
      <rPr>
        <sz val="10"/>
        <rFont val="Arial"/>
        <charset val="1"/>
      </rPr>
      <t>?</t>
    </r>
  </si>
  <si>
    <t>등록특허는 1979년 1월분부터 제작돼 있습니다.</t>
  </si>
  <si>
    <t>c121</t>
  </si>
  <si>
    <t>공개특허 영문 자료는 언제부터 있나요?</t>
  </si>
  <si>
    <t>공개특허는 1999년 1월분부터 제작합니다.</t>
  </si>
  <si>
    <t>c122</t>
  </si>
  <si>
    <r>
      <rPr>
        <sz val="10"/>
        <rFont val="Arial"/>
        <charset val="1"/>
      </rPr>
      <t>Espacenet</t>
    </r>
    <r>
      <rPr>
        <sz val="10"/>
        <rFont val="Noto Sans CJK SC"/>
        <family val="2"/>
      </rPr>
      <t>에서 한국 특허 영문을 봤습니다</t>
    </r>
    <r>
      <rPr>
        <sz val="10"/>
        <rFont val="Arial"/>
        <charset val="1"/>
      </rPr>
      <t>.</t>
    </r>
  </si>
  <si>
    <t>해외 특허청 검색서비스에서도 제공됩니다.</t>
  </si>
  <si>
    <t>c123</t>
  </si>
  <si>
    <t>영문 자료를 FTP로 정기 수신하고 싶습니다.</t>
  </si>
  <si>
    <t>온라인(FTP)을 통해 국내외에 보급합니다.</t>
  </si>
  <si>
    <t>c124</t>
  </si>
  <si>
    <t>해외에 나가는 영어 자료에 IPC도 들어가나요?</t>
  </si>
  <si>
    <t>서지정보에 IPC와 CPC가 포함됩니다.</t>
  </si>
  <si>
    <t>c125</t>
  </si>
  <si>
    <t>발명의 명칭만 영어로 확인하면 됩니다.</t>
  </si>
  <si>
    <t>발명의 명칭을 영문 번역해 수록합니다.</t>
  </si>
  <si>
    <t>c126</t>
  </si>
  <si>
    <t>해외 분쟁을 미리 막을 자료가 필요합니다.</t>
  </si>
  <si>
    <t>글로벌 지재권 분쟁 예방을 목적으로 발간합니다.</t>
  </si>
  <si>
    <t>c127</t>
  </si>
  <si>
    <t>우선권 주장 정보도 영문으로 나오나요?</t>
  </si>
  <si>
    <t>우선권 주장 번호·일자·국가가 수록됩니다.</t>
  </si>
  <si>
    <t>c128</t>
  </si>
  <si>
    <t>선행기술조사 문헌도 영문 자료에 있나요?</t>
  </si>
  <si>
    <t>특허·실용신안·비특허문헌이 수록됩니다.</t>
  </si>
  <si>
    <t>c129</t>
  </si>
  <si>
    <t>영문화 엔진은 어디와 같이 만들었나요?</t>
  </si>
  <si>
    <t>시스트란 인터내셔널과 공동 개발했습니다.</t>
  </si>
  <si>
    <t>c130</t>
  </si>
  <si>
    <t>국제조사기관 견해서도 영문화 대상인가요?</t>
  </si>
  <si>
    <t>한국어 견해서도 영문 번역 대상입니다.</t>
  </si>
  <si>
    <t>c131</t>
  </si>
  <si>
    <t>영문화의 근거가 되는 규정이 있나요?</t>
  </si>
  <si>
    <r>
      <rPr>
        <sz val="10"/>
        <rFont val="Arial"/>
        <charset val="1"/>
      </rPr>
      <t xml:space="preserve">PCT </t>
    </r>
    <r>
      <rPr>
        <sz val="10"/>
        <rFont val="Noto Sans CJK SC"/>
        <family val="2"/>
      </rPr>
      <t>규칙 제</t>
    </r>
    <r>
      <rPr>
        <sz val="10"/>
        <rFont val="Arial"/>
        <charset val="1"/>
      </rPr>
      <t>48</t>
    </r>
    <r>
      <rPr>
        <sz val="10"/>
        <rFont val="Noto Sans CJK SC"/>
        <family val="2"/>
      </rPr>
      <t>조</t>
    </r>
    <r>
      <rPr>
        <sz val="10"/>
        <rFont val="Arial"/>
        <charset val="1"/>
      </rPr>
      <t>3</t>
    </r>
    <r>
      <rPr>
        <sz val="10"/>
        <rFont val="Noto Sans CJK SC"/>
        <family val="2"/>
      </rPr>
      <t>에 따라 번역합니다</t>
    </r>
    <r>
      <rPr>
        <sz val="10"/>
        <rFont val="Arial"/>
        <charset val="1"/>
      </rPr>
      <t>.</t>
    </r>
  </si>
  <si>
    <t>c132</t>
  </si>
  <si>
    <t>영문 데이터를 우리 포맷에 맞게 받고 싶습니다.</t>
  </si>
  <si>
    <t>고객 요청에 따라 가공해 대량 납품합니다.</t>
  </si>
  <si>
    <t>c133</t>
  </si>
  <si>
    <t>국제공개를 위해 요약서 영문본이 필요합니다.</t>
  </si>
  <si>
    <t>국제공개용 요약서 영문화는 PCT 번역사업에 포함됩니다.</t>
  </si>
  <si>
    <t>c134</t>
  </si>
  <si>
    <t>영문화 품질이 계속 좋아지고 있나요?</t>
  </si>
  <si>
    <t>다양한 DB로 번역엔진을 지속 트레이닝합니다.</t>
  </si>
  <si>
    <t>c135</t>
  </si>
  <si>
    <t>실용신안까지 포함해 영문본을 받고 싶습니다.</t>
  </si>
  <si>
    <t>특허·실용신안 공보를 기계번역합니다.</t>
  </si>
  <si>
    <t>c136</t>
  </si>
  <si>
    <t>창업 기업인데 IP 데이터를 무상으로 못 받나요?</t>
  </si>
  <si>
    <r>
      <rPr>
        <sz val="10"/>
        <rFont val="Arial"/>
        <charset val="1"/>
      </rPr>
      <t>IP</t>
    </r>
    <r>
      <rPr>
        <sz val="10"/>
        <rFont val="Noto Sans CJK SC"/>
        <family val="2"/>
      </rPr>
      <t>데이터 기프트 제도로 무상 지원합니다</t>
    </r>
    <r>
      <rPr>
        <sz val="10"/>
        <rFont val="Arial"/>
        <charset val="1"/>
      </rPr>
      <t>.</t>
    </r>
  </si>
  <si>
    <t>c137</t>
  </si>
  <si>
    <r>
      <rPr>
        <sz val="10"/>
        <rFont val="Arial"/>
        <charset val="1"/>
      </rPr>
      <t xml:space="preserve">IP </t>
    </r>
    <r>
      <rPr>
        <sz val="10"/>
        <rFont val="Noto Sans CJK SC"/>
        <family val="2"/>
      </rPr>
      <t>정보로 창업 아이디어 대회가 있나요</t>
    </r>
    <r>
      <rPr>
        <sz val="10"/>
        <rFont val="Arial"/>
        <charset val="1"/>
      </rPr>
      <t>?</t>
    </r>
  </si>
  <si>
    <t>지식재산 정보 활용 창업 경진대회를 개최합니다.</t>
  </si>
  <si>
    <t>c138</t>
  </si>
  <si>
    <r>
      <rPr>
        <sz val="10"/>
        <rFont val="Arial"/>
        <charset val="1"/>
      </rPr>
      <t>FTP</t>
    </r>
    <r>
      <rPr>
        <sz val="10"/>
        <rFont val="Noto Sans CJK SC"/>
        <family val="2"/>
      </rPr>
      <t>로 대용량 데이터를 한 번에 받고 싶습니다</t>
    </r>
    <r>
      <rPr>
        <sz val="10"/>
        <rFont val="Arial"/>
        <charset val="1"/>
      </rPr>
      <t>.</t>
    </r>
  </si>
  <si>
    <r>
      <rPr>
        <sz val="10"/>
        <rFont val="Arial"/>
        <charset val="1"/>
      </rPr>
      <t>Bulk Data</t>
    </r>
    <r>
      <rPr>
        <sz val="10"/>
        <rFont val="Noto Sans CJK SC"/>
        <family val="2"/>
      </rPr>
      <t>로 대용량 일괄 제공합니다</t>
    </r>
    <r>
      <rPr>
        <sz val="10"/>
        <rFont val="Arial"/>
        <charset val="1"/>
      </rPr>
      <t>.</t>
    </r>
  </si>
  <si>
    <t>c139</t>
  </si>
  <si>
    <t>자체 DB 없이 필요한 정보만 받고 싶습니다.</t>
  </si>
  <si>
    <r>
      <rPr>
        <sz val="10"/>
        <rFont val="Arial"/>
        <charset val="1"/>
      </rPr>
      <t>Open API</t>
    </r>
    <r>
      <rPr>
        <sz val="10"/>
        <rFont val="Noto Sans CJK SC"/>
        <family val="2"/>
      </rPr>
      <t>로 요청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응답 방식 이용이 가능합니다</t>
    </r>
    <r>
      <rPr>
        <sz val="10"/>
        <rFont val="Arial"/>
        <charset val="1"/>
      </rPr>
      <t>.</t>
    </r>
  </si>
  <si>
    <t>c140</t>
  </si>
  <si>
    <t>법무법인인데 특허 분석용 데이터가 필요합니다.</t>
  </si>
  <si>
    <t>법무법인 등 최종 사용자 활용을 지원합니다.</t>
  </si>
  <si>
    <t>c141</t>
  </si>
  <si>
    <r>
      <rPr>
        <sz val="10"/>
        <rFont val="Arial"/>
        <charset val="1"/>
      </rPr>
      <t xml:space="preserve">IP </t>
    </r>
    <r>
      <rPr>
        <sz val="10"/>
        <rFont val="Noto Sans CJK SC"/>
        <family val="2"/>
      </rPr>
      <t>분야 스타트업인데 해외 진출을 돕나요</t>
    </r>
    <r>
      <rPr>
        <sz val="10"/>
        <rFont val="Arial"/>
        <charset val="1"/>
      </rPr>
      <t>?</t>
    </r>
  </si>
  <si>
    <t>스타트업 국내외 홍보와 해외 진출을 지원합니다.</t>
  </si>
  <si>
    <t>c142</t>
  </si>
  <si>
    <t>특허행정정보도 개방 대상인가요?</t>
  </si>
  <si>
    <t>산업재산권 정보와 특허행정정보를 개방합니다.</t>
  </si>
  <si>
    <t>c143</t>
  </si>
  <si>
    <r>
      <rPr>
        <sz val="10"/>
        <rFont val="Arial"/>
        <charset val="1"/>
      </rPr>
      <t xml:space="preserve">IP </t>
    </r>
    <r>
      <rPr>
        <sz val="10"/>
        <rFont val="Noto Sans CJK SC"/>
        <family val="2"/>
      </rPr>
      <t>시스템들이 클라우드로 옮겨졌다고 들었습니다</t>
    </r>
    <r>
      <rPr>
        <sz val="10"/>
        <rFont val="Arial"/>
        <charset val="1"/>
      </rPr>
      <t>.</t>
    </r>
  </si>
  <si>
    <t>민간 클라우드 환경에서 통합 운영합니다.</t>
  </si>
  <si>
    <t>c144</t>
  </si>
  <si>
    <t>지금 몇 개 시스템이 들어와 있나요?</t>
  </si>
  <si>
    <r>
      <rPr>
        <sz val="10"/>
        <rFont val="Arial"/>
        <charset val="1"/>
      </rPr>
      <t>2026</t>
    </r>
    <r>
      <rPr>
        <sz val="10"/>
        <rFont val="Noto Sans CJK SC"/>
        <family val="2"/>
      </rPr>
      <t xml:space="preserve">년 </t>
    </r>
    <r>
      <rPr>
        <sz val="10"/>
        <rFont val="Arial"/>
        <charset val="1"/>
      </rPr>
      <t>1</t>
    </r>
    <r>
      <rPr>
        <sz val="10"/>
        <rFont val="Noto Sans CJK SC"/>
        <family val="2"/>
      </rPr>
      <t xml:space="preserve">월 기준 </t>
    </r>
    <r>
      <rPr>
        <sz val="10"/>
        <rFont val="Arial"/>
        <charset val="1"/>
      </rPr>
      <t>7</t>
    </r>
    <r>
      <rPr>
        <sz val="10"/>
        <rFont val="Noto Sans CJK SC"/>
        <family val="2"/>
      </rPr>
      <t xml:space="preserve">개 기관 </t>
    </r>
    <r>
      <rPr>
        <sz val="10"/>
        <rFont val="Arial"/>
        <charset val="1"/>
      </rPr>
      <t>40</t>
    </r>
    <r>
      <rPr>
        <sz val="10"/>
        <rFont val="Noto Sans CJK SC"/>
        <family val="2"/>
      </rPr>
      <t>개 시스템입니다</t>
    </r>
    <r>
      <rPr>
        <sz val="10"/>
        <rFont val="Arial"/>
        <charset val="1"/>
      </rPr>
      <t>.</t>
    </r>
  </si>
  <si>
    <t>c145</t>
  </si>
  <si>
    <r>
      <rPr>
        <sz val="10"/>
        <rFont val="Arial"/>
        <charset val="1"/>
      </rPr>
      <t xml:space="preserve">IP-Mart </t>
    </r>
    <r>
      <rPr>
        <sz val="10"/>
        <rFont val="Noto Sans CJK SC"/>
        <family val="2"/>
      </rPr>
      <t>시스템은 어디서 운영되나요</t>
    </r>
    <r>
      <rPr>
        <sz val="10"/>
        <rFont val="Arial"/>
        <charset val="1"/>
      </rPr>
      <t>?</t>
    </r>
  </si>
  <si>
    <t>국가지식재산거래플랫폼도 센터에서 운영합니다.</t>
  </si>
  <si>
    <t>c146</t>
  </si>
  <si>
    <t>침해사고가 나면 어디가 대응하나요?</t>
  </si>
  <si>
    <t>사이버 침해사고 예방·대응 체계를 운영합니다.</t>
  </si>
  <si>
    <t>c147</t>
  </si>
  <si>
    <t>방화벽 정책 변경을 요청하고 싶습니다.</t>
  </si>
  <si>
    <t>클라우드 보안시스템 정책을 관리합니다.</t>
  </si>
  <si>
    <t>c148</t>
  </si>
  <si>
    <t>보안 취약점 점검은 정기적으로 하나요?</t>
  </si>
  <si>
    <t>주기적 보안 취약점 점검을 수행합니다.</t>
  </si>
  <si>
    <t>c149</t>
  </si>
  <si>
    <t>정보자원 성능 통계를 받아볼 수 있나요?</t>
  </si>
  <si>
    <t>통합모니터링으로 구성·성능·통계를 제공합니다.</t>
  </si>
  <si>
    <t>c150</t>
  </si>
  <si>
    <r>
      <rPr>
        <sz val="10"/>
        <rFont val="Arial"/>
        <charset val="1"/>
      </rPr>
      <t xml:space="preserve">IT </t>
    </r>
    <r>
      <rPr>
        <sz val="10"/>
        <rFont val="Noto Sans CJK SC"/>
        <family val="2"/>
      </rPr>
      <t>서비스 요청을 접수하는 창구가 있나요</t>
    </r>
    <r>
      <rPr>
        <sz val="10"/>
        <rFont val="Arial"/>
        <charset val="1"/>
      </rPr>
      <t>?</t>
    </r>
  </si>
  <si>
    <t>자체 IT서비스 관리시스템을 운영합니다.</t>
  </si>
  <si>
    <t>c151</t>
  </si>
  <si>
    <r>
      <rPr>
        <sz val="10"/>
        <rFont val="Arial"/>
        <charset val="1"/>
      </rPr>
      <t>e-</t>
    </r>
    <r>
      <rPr>
        <sz val="10"/>
        <rFont val="Noto Sans CJK SC"/>
        <family val="2"/>
      </rPr>
      <t>특허나라 접속이 안 됩니다</t>
    </r>
    <r>
      <rPr>
        <sz val="10"/>
        <rFont val="Arial"/>
        <charset val="1"/>
      </rPr>
      <t>.</t>
    </r>
  </si>
  <si>
    <t>입주한 IP정보시스템의 운영·관리를 담당합니다.</t>
  </si>
  <si>
    <t>c152</t>
  </si>
  <si>
    <t>이 행사는 누가 주최하나요?</t>
  </si>
  <si>
    <t>지식재산처와 한국특허정보원이 함께 주최합니다.</t>
  </si>
  <si>
    <t>c153</t>
  </si>
  <si>
    <t>행사 참가자 규모가 어느 정도인가요?</t>
  </si>
  <si>
    <t>국내외 지식재산전문가 700여명이 참가합니다.</t>
  </si>
  <si>
    <t>c154</t>
  </si>
  <si>
    <t>전시업체는 몇 곳이나 나오나요?</t>
  </si>
  <si>
    <r>
      <rPr>
        <sz val="10"/>
        <rFont val="Arial"/>
        <charset val="1"/>
      </rPr>
      <t>20</t>
    </r>
    <r>
      <rPr>
        <sz val="10"/>
        <rFont val="Noto Sans CJK SC"/>
        <family val="2"/>
      </rPr>
      <t>여개 전시업체가 참가합니다</t>
    </r>
    <r>
      <rPr>
        <sz val="10"/>
        <rFont val="Arial"/>
        <charset val="1"/>
      </rPr>
      <t>.</t>
    </r>
  </si>
  <si>
    <t>c155</t>
  </si>
  <si>
    <r>
      <rPr>
        <sz val="10"/>
        <rFont val="Arial"/>
        <charset val="1"/>
      </rPr>
      <t xml:space="preserve">IP </t>
    </r>
    <r>
      <rPr>
        <sz val="10"/>
        <rFont val="Noto Sans CJK SC"/>
        <family val="2"/>
      </rPr>
      <t>솔루션을 직접 시연해 보고 싶습니다</t>
    </r>
    <r>
      <rPr>
        <sz val="10"/>
        <rFont val="Arial"/>
        <charset val="1"/>
      </rPr>
      <t>.</t>
    </r>
  </si>
  <si>
    <t>전시에서 IP 솔루션 시연과 부스를 운영합니다.</t>
  </si>
  <si>
    <t>c156</t>
  </si>
  <si>
    <t>행사에서 비즈니스 미팅을 잡을 수 있나요?</t>
  </si>
  <si>
    <t>전시 프로그램에 비즈니스 미팅이 있습니다.</t>
  </si>
  <si>
    <t>c157</t>
  </si>
  <si>
    <t>기조연설과 워크숍도 있나요?</t>
  </si>
  <si>
    <t>컨퍼런스에서 기조연설과 워크숍을 진행합니다.</t>
  </si>
  <si>
    <t>c158</t>
  </si>
  <si>
    <r>
      <rPr>
        <sz val="10"/>
        <rFont val="Arial"/>
        <charset val="1"/>
      </rPr>
      <t>2025</t>
    </r>
    <r>
      <rPr>
        <sz val="10"/>
        <rFont val="Noto Sans CJK SC"/>
        <family val="2"/>
      </rPr>
      <t>년 행사 주제가 무엇이었나요</t>
    </r>
    <r>
      <rPr>
        <sz val="10"/>
        <rFont val="Arial"/>
        <charset val="1"/>
      </rPr>
      <t>?</t>
    </r>
  </si>
  <si>
    <r>
      <rPr>
        <sz val="10"/>
        <rFont val="Arial"/>
        <charset val="1"/>
      </rPr>
      <t>2025</t>
    </r>
    <r>
      <rPr>
        <sz val="10"/>
        <rFont val="Noto Sans CJK SC"/>
        <family val="2"/>
      </rPr>
      <t xml:space="preserve">년 주제는 </t>
    </r>
    <r>
      <rPr>
        <sz val="10"/>
        <rFont val="Arial"/>
        <charset val="1"/>
      </rPr>
      <t>AI Revolution</t>
    </r>
    <r>
      <rPr>
        <sz val="10"/>
        <rFont val="Noto Sans CJK SC"/>
        <family val="2"/>
      </rPr>
      <t>이었습니다</t>
    </r>
    <r>
      <rPr>
        <sz val="10"/>
        <rFont val="Arial"/>
        <charset val="1"/>
      </rPr>
      <t>.</t>
    </r>
  </si>
  <si>
    <t>c159</t>
  </si>
  <si>
    <t>개회식에서 경품 추첨도 하나요?</t>
  </si>
  <si>
    <t>부대행사로 개·폐회식 경품추첨을 진행합니다.</t>
  </si>
  <si>
    <t>c160</t>
  </si>
  <si>
    <t>행사 소식을 SNS로 받아보고 싶습니다.</t>
  </si>
  <si>
    <t>블로그와 SNS 채널로 소식을 안내합니다.</t>
  </si>
  <si>
    <t>c161</t>
  </si>
  <si>
    <t>특허정보 최신 동향을 한자리에서 보고 싶습니다.</t>
  </si>
  <si>
    <t>글로벌 특허정보 동향을 파악하는 자리입니다.</t>
  </si>
  <si>
    <t>c162</t>
  </si>
  <si>
    <t>특허 기술용어 사전을 연구에 쓰고 싶습니다.</t>
  </si>
  <si>
    <t>c163</t>
  </si>
  <si>
    <t>소재 분야 조성·물성 데이터가 필요합니다.</t>
  </si>
  <si>
    <t>금속·화학·소재 조성/물성 데이터를 구축합니다.</t>
  </si>
  <si>
    <t>c164</t>
  </si>
  <si>
    <t>기계번역 학습용 코퍼스를 구할 수 있나요?</t>
  </si>
  <si>
    <t>기계번역 코퍼스를 학습용 데이터로 구축합니다.</t>
  </si>
  <si>
    <t>c165</t>
  </si>
  <si>
    <t>특허와 과학기술 데이터를 연계 분석하고 싶습니다.</t>
  </si>
  <si>
    <t>타 산업분야 빅데이터 연계 네트워크를 연구합니다.</t>
  </si>
  <si>
    <t>c166</t>
  </si>
  <si>
    <t>특허 분야 언어모델을 연구하시나요?</t>
  </si>
  <si>
    <t>인공지능 사전학습 언어모델을 연구개발합니다.</t>
  </si>
  <si>
    <t>c167</t>
  </si>
  <si>
    <t>비슷한 특허를 자동으로 찾는 연구가 있나요?</t>
  </si>
  <si>
    <t>유사특허검색 인공지능 모델을 연구개발합니다.</t>
  </si>
  <si>
    <t>c168</t>
  </si>
  <si>
    <t>대학인데 공동 연구가 가능한가요?</t>
  </si>
  <si>
    <t>산학연과 공동으로 연구개발을 추진합니다.</t>
  </si>
  <si>
    <t>c169</t>
  </si>
  <si>
    <t>특허 문서에서 기술 특징을 뽑아내고 싶습니다.</t>
  </si>
  <si>
    <t>특허기술 특징 추출 모델을 연구개발합니다.</t>
  </si>
  <si>
    <t>c170</t>
  </si>
  <si>
    <t>지식재산 행정에 AI를 어떻게 쓰나요?</t>
  </si>
  <si>
    <t>지능정보기술로 IP 행정 지능정보화를 추진합니다.</t>
  </si>
  <si>
    <t>c171</t>
  </si>
  <si>
    <t>재난이 나면 시스템은 어떻게 되나요?</t>
  </si>
  <si>
    <t>재난복구·이중화 모의훈련을 정기 실시합니다.</t>
  </si>
  <si>
    <t>c172</t>
  </si>
  <si>
    <t>법이 바뀌면 시스템에 언제 반영되나요?</t>
  </si>
  <si>
    <t>법·제도 개선사항을 적기에 반영합니다.</t>
  </si>
  <si>
    <t>c173</t>
  </si>
  <si>
    <t>출원 처리가 평소보다 많이 느립니다.</t>
  </si>
  <si>
    <t>전산자원 점검과 성능향상을 수행합니다.</t>
  </si>
  <si>
    <t>c174</t>
  </si>
  <si>
    <t>출원부터 심판까지 한 시스템에서 처리되나요?</t>
  </si>
  <si>
    <t>특허넷(KIPOnet)의 운영·유지관리를 담당합니다.</t>
  </si>
  <si>
    <t>c175</t>
  </si>
  <si>
    <t>정보화 사업 품질 기준이 따로 있나요?</t>
  </si>
  <si>
    <t>정보화 품질관리 표준과 지침을 마련합니다.</t>
  </si>
  <si>
    <t>c176</t>
  </si>
  <si>
    <t>새로 생긴 시스템이 아직 불안정합니다.</t>
  </si>
  <si>
    <t>신규 응용시스템의 조기 안정화를 지원합니다.</t>
  </si>
  <si>
    <t>c177</t>
  </si>
  <si>
    <t>전자정부 정책 대응은 어디서 하나요?</t>
  </si>
  <si>
    <t>전자정부 정책 대응을 지원합니다.</t>
  </si>
  <si>
    <t>c178</t>
  </si>
  <si>
    <t>심사 업무용 시스템도 같이 운영하나요?</t>
  </si>
  <si>
    <t>출원·심사·심판 응용시스템을 운영합니다.</t>
  </si>
  <si>
    <t>c179</t>
  </si>
  <si>
    <t>청각장애가 있어 전화 문의가 어렵습니다.</t>
  </si>
  <si>
    <t>채팅상담 서비스를 이용할 수 있습니다.</t>
  </si>
  <si>
    <t>c180</t>
  </si>
  <si>
    <t>밤늦게 궁금한 걸 물어볼 방법이 있나요?</t>
  </si>
  <si>
    <t>챗봇상담으로 365일 24시간 이용 가능합니다.</t>
  </si>
  <si>
    <t>c181</t>
  </si>
  <si>
    <t>연차등록료 납부 시기를 놓칠까 걱정입니다.</t>
  </si>
  <si>
    <t>납부기간 도래를 문자로 사전 안내합니다.</t>
  </si>
  <si>
    <t>c182</t>
  </si>
  <si>
    <t>카카오톡으로 문의할 수 있다고 들었습니다.</t>
  </si>
  <si>
    <t>카카오톡 채널로 상담원 채팅이 가능합니다.</t>
  </si>
  <si>
    <t>c183</t>
  </si>
  <si>
    <t>문의한 건이 처리됐는지 확인해 주나요?</t>
  </si>
  <si>
    <t>해피콜로 처리 여부를 확인해 드립니다.</t>
  </si>
  <si>
    <t>c184</t>
  </si>
  <si>
    <t>우리 청 시스템 현황부터 진단받고 싶습니다.</t>
  </si>
  <si>
    <t>지재권·정보시스템 현황 조사부터 수행합니다.</t>
  </si>
  <si>
    <t>c185</t>
  </si>
  <si>
    <t>시스템 도입의 경제적 효과를 알고 싶습니다.</t>
  </si>
  <si>
    <t>경제적 효과 분석으로 개선 방안을 제시합니다.</t>
  </si>
  <si>
    <t>c186</t>
  </si>
  <si>
    <t>구축 후에 우리 직원이 운영할 수 있을까요?</t>
  </si>
  <si>
    <t>운영 역량 교육과 기술 전수를 지원합니다.</t>
  </si>
  <si>
    <t>c187</t>
  </si>
  <si>
    <t>한국식 특허행정 자동화를 도입하고 싶습니다.</t>
  </si>
  <si>
    <t>한국형 IP행정정보화 시스템을 구축합니다.</t>
  </si>
  <si>
    <t>c188</t>
  </si>
  <si>
    <t>요구사항 정리부터 도와주실 수 있나요?</t>
  </si>
  <si>
    <t>사용자 요구사항 분석 단계부터 진행합니다.</t>
  </si>
  <si>
    <t>c189</t>
  </si>
  <si>
    <t>시제품 형태로 먼저 보고 결정하고 싶습니다.</t>
  </si>
  <si>
    <t>프로토타입 개발을 위한 설계를 수행합니다.</t>
  </si>
  <si>
    <t>c190</t>
  </si>
  <si>
    <t>구축이 끝나면 유지보수는 어떻게 하나요?</t>
  </si>
  <si>
    <t>배치 후 이용자 교육까지 지원합니다.</t>
  </si>
  <si>
    <t>c191</t>
  </si>
  <si>
    <t>한국의 특허넷 운영 경험을 배우고 싶습니다.</t>
  </si>
  <si>
    <t>특허넷 운영 노하우를 대상국에 전수합니다.</t>
  </si>
  <si>
    <t>c192</t>
  </si>
  <si>
    <t>업무 절차부터 명확히 정리하고 싶습니다.</t>
  </si>
  <si>
    <t>업무절차 정의로 명확화하는 단계를 거칩니다.</t>
  </si>
  <si>
    <t>c193</t>
  </si>
  <si>
    <t>기술을 쓰려면 꼭 양도받아야 하나요?</t>
  </si>
  <si>
    <t>실시권 허락·공동연구 등 방식도 가능합니다.</t>
  </si>
  <si>
    <t>c194</t>
  </si>
  <si>
    <t>보유 기술을 쓰려면 신청서를 어디서 받나요?</t>
  </si>
  <si>
    <t>기술이전 신청서를 홈페이지에서 내려받습니다.</t>
  </si>
  <si>
    <t>c195</t>
  </si>
  <si>
    <t>기술료와 계약기간은 협의가 되나요?</t>
  </si>
  <si>
    <t>계약조건 협상 단계에서 협의합니다.</t>
  </si>
  <si>
    <t>c196</t>
  </si>
  <si>
    <t>계약 후에 사용법도 알려주시나요?</t>
  </si>
  <si>
    <t>기술지도로 자료·교육·현장지원을 제공합니다.</t>
  </si>
  <si>
    <t>c197</t>
  </si>
  <si>
    <t>이전 가능한 연구논문도 있나요?</t>
  </si>
  <si>
    <t>보유기술목록에 연구논문이 포함됩니다.</t>
  </si>
  <si>
    <t>https://www.kipi.or.kr/EgovPageLink.do?link=/main/sub03/sub0402</t>
  </si>
  <si>
    <t>c198</t>
  </si>
  <si>
    <t>학습데이터도 이전 대상에 들어가나요?</t>
  </si>
  <si>
    <t>보유기술목록에 학습데이터가 포함됩니다.</t>
  </si>
  <si>
    <t>c199</t>
  </si>
  <si>
    <t>이전 가능한 기술 공고는 어디에 나오나요?</t>
  </si>
  <si>
    <t>홈페이지·설명회·브로슈어로 공고합니다.</t>
  </si>
  <si>
    <t>c200</t>
  </si>
  <si>
    <t>보유하신 지식재산권 목록을 보고 싶습니다.</t>
  </si>
  <si>
    <t>보유 지식재산권을 목록으로 공개합니다.</t>
  </si>
  <si>
    <t>주요 업무</t>
  </si>
  <si>
    <t>표시 부서 (버튼 배지)</t>
  </si>
  <si>
    <t>출처 (www.kipi.or.kr)</t>
  </si>
  <si>
    <t>게임 노출</t>
  </si>
  <si>
    <t>데이터 품질관리(오류 판단·수정·패턴분석), IP5 등 해외 주요기관 데이터 입수, KIPRIS·KOMPASS DB 구축, 국내외 기관 원천데이터 제공, 국제표준 가공·배포</t>
  </si>
  <si>
    <t>분석플랫폼지원단 · 데이터관리실</t>
  </si>
  <si>
    <t>/main/sub03/sub010201</t>
  </si>
  <si>
    <t>노출</t>
  </si>
  <si>
    <t>대국민 검색서비스 KIPRIS 운영. 반응형 웹, 국내외 통합검색, 행정이력·중간서류철, 마이폴더·검색식 메일링·공보발간 예고·추천검색식</t>
  </si>
  <si>
    <t>정보활용본부 · IP정보확산실</t>
  </si>
  <si>
    <t>/main/sub03/sub0101</t>
  </si>
  <si>
    <t>서면서류 스캐닝·전자화, 온라인 제출서류 명세서 전자화, 상표견본 키워드 입력, 심결문 비실명화, 전자화결과통지서 발송, 출원지원교육</t>
  </si>
  <si>
    <t>지능정보화센터 · 지능정보데이터실</t>
  </si>
  <si>
    <t>/main/sub03/sub010202</t>
  </si>
  <si>
    <t>한국특허공보 영문요약서 제작(등록 1979.1~, 공개 1999.1~), FTP 국내외 보급, KIPRIS·Espacenet·Patentscope 검색 제공</t>
  </si>
  <si>
    <t>정보활용본부 · IP정보가공실</t>
  </si>
  <si>
    <t>/main/sub03/sub010203</t>
  </si>
  <si>
    <t>PCT 규칙 제48조3에 따라 WIPO에 제출된 한국어 국제출원문서(요약서·국제조사보고서·견해서)를 영문 번역해 국제공개를 지원</t>
  </si>
  <si>
    <r>
      <rPr>
        <sz val="10"/>
        <rFont val="Arial"/>
        <charset val="1"/>
      </rPr>
      <t>/main/sub03/sub010402 (</t>
    </r>
    <r>
      <rPr>
        <sz val="10"/>
        <rFont val="Noto Sans CJK SC"/>
        <family val="2"/>
      </rPr>
      <t xml:space="preserve">담당 표기는 구 조직명 국제협력팀 </t>
    </r>
    <r>
      <rPr>
        <sz val="10"/>
        <rFont val="Arial"/>
        <charset val="1"/>
      </rPr>
      <t xml:space="preserve">/ </t>
    </r>
    <r>
      <rPr>
        <sz val="10"/>
        <rFont val="Noto Sans CJK SC"/>
        <family val="2"/>
      </rPr>
      <t xml:space="preserve">업무분장표 </t>
    </r>
    <r>
      <rPr>
        <sz val="10"/>
        <rFont val="Arial"/>
        <charset val="1"/>
      </rPr>
      <t>BB110: IP</t>
    </r>
    <r>
      <rPr>
        <sz val="10"/>
        <rFont val="Noto Sans CJK SC"/>
        <family val="2"/>
      </rPr>
      <t xml:space="preserve">정보가공실 </t>
    </r>
    <r>
      <rPr>
        <sz val="10"/>
        <rFont val="Arial"/>
        <charset val="1"/>
      </rPr>
      <t>WIPO</t>
    </r>
    <r>
      <rPr>
        <sz val="10"/>
        <rFont val="Noto Sans CJK SC"/>
        <family val="2"/>
      </rPr>
      <t>사업팀</t>
    </r>
    <r>
      <rPr>
        <sz val="10"/>
        <rFont val="Arial"/>
        <charset val="1"/>
      </rPr>
      <t>)</t>
    </r>
  </si>
  <si>
    <t>시스트란 인터내셔널과 공동 개발한 한영 기계번역 엔진. 특허·실용신안 공보 기계번역물을 고객 요청에 따라 가공해 대량 제공, 번역엔진 지속 트레이닝</t>
  </si>
  <si>
    <t>지능정보화센터 · 지능정보기술실</t>
  </si>
  <si>
    <r>
      <rPr>
        <sz val="10"/>
        <rFont val="Arial"/>
        <charset val="1"/>
      </rPr>
      <t>/main/sub03/sub010401 (</t>
    </r>
    <r>
      <rPr>
        <sz val="10"/>
        <rFont val="Noto Sans CJK SC"/>
        <family val="2"/>
      </rPr>
      <t xml:space="preserve">업무분장표 </t>
    </r>
    <r>
      <rPr>
        <sz val="10"/>
        <rFont val="Arial"/>
        <charset val="1"/>
      </rPr>
      <t xml:space="preserve">BB110: </t>
    </r>
    <r>
      <rPr>
        <sz val="10"/>
        <rFont val="Noto Sans CJK SC"/>
        <family val="2"/>
      </rPr>
      <t>지능정보기술실 지능화번역팀</t>
    </r>
    <r>
      <rPr>
        <sz val="10"/>
        <rFont val="Arial"/>
        <charset val="1"/>
      </rPr>
      <t>)</t>
    </r>
  </si>
  <si>
    <r>
      <rPr>
        <sz val="10"/>
        <rFont val="Arial"/>
        <charset val="1"/>
      </rPr>
      <t>[</t>
    </r>
    <r>
      <rPr>
        <sz val="10"/>
        <rFont val="Noto Sans CJK SC"/>
        <family val="2"/>
      </rPr>
      <t>보류</t>
    </r>
    <r>
      <rPr>
        <sz val="10"/>
        <rFont val="Arial"/>
        <charset val="1"/>
      </rPr>
      <t xml:space="preserve">] </t>
    </r>
    <r>
      <rPr>
        <sz val="10"/>
        <rFont val="Noto Sans CJK SC"/>
        <family val="2"/>
      </rPr>
      <t>현행 주요사업 메뉴에 해당 항목 없음</t>
    </r>
    <r>
      <rPr>
        <sz val="10"/>
        <rFont val="Arial"/>
        <charset val="1"/>
      </rPr>
      <t xml:space="preserve">. ipstat.kipi.or.kr </t>
    </r>
    <r>
      <rPr>
        <sz val="10"/>
        <rFont val="Noto Sans CJK SC"/>
        <family val="2"/>
      </rPr>
      <t>접속 불가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존속 여부 담당부서 확인 필요 — 신규 문항 미배정</t>
    </r>
  </si>
  <si>
    <r>
      <rPr>
        <sz val="10"/>
        <rFont val="Arial"/>
        <charset val="1"/>
      </rPr>
      <t>(</t>
    </r>
    <r>
      <rPr>
        <sz val="10"/>
        <rFont val="Noto Sans CJK SC"/>
        <family val="2"/>
      </rPr>
      <t>확인 불가 — 게임 제외</t>
    </r>
    <r>
      <rPr>
        <sz val="10"/>
        <rFont val="Arial"/>
        <charset val="1"/>
      </rPr>
      <t>)</t>
    </r>
  </si>
  <si>
    <t>현행 사이트에서 미확인</t>
  </si>
  <si>
    <t>제외</t>
  </si>
  <si>
    <t>민간 클라우드 기반 IP정보시스템 통합 운영(2026.1 기준 7개 기관 40개 시스템), 공동활용자원 관리, 침해사고 대응, 보안관제, 취약점 점검</t>
  </si>
  <si>
    <t>정보시스템본부 · IP시스템기반실</t>
  </si>
  <si>
    <t>/main/sub03/sub030200</t>
  </si>
  <si>
    <r>
      <rPr>
        <sz val="10"/>
        <rFont val="Arial"/>
        <charset val="1"/>
      </rPr>
      <t>IP</t>
    </r>
    <r>
      <rPr>
        <sz val="10"/>
        <rFont val="Noto Sans CJK SC"/>
        <family val="2"/>
      </rPr>
      <t>정보 개방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유통 플랫폼</t>
    </r>
    <r>
      <rPr>
        <sz val="10"/>
        <rFont val="Arial"/>
        <charset val="1"/>
      </rPr>
      <t xml:space="preserve">. Bulk Data·Open API·LOD </t>
    </r>
    <r>
      <rPr>
        <sz val="10"/>
        <rFont val="Noto Sans CJK SC"/>
        <family val="2"/>
      </rPr>
      <t>제공</t>
    </r>
    <r>
      <rPr>
        <sz val="10"/>
        <rFont val="Arial"/>
        <charset val="1"/>
      </rPr>
      <t>, IP</t>
    </r>
    <r>
      <rPr>
        <sz val="10"/>
        <rFont val="Noto Sans CJK SC"/>
        <family val="2"/>
      </rPr>
      <t>데이터 기프트 제도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창업 경진대회</t>
    </r>
    <r>
      <rPr>
        <sz val="10"/>
        <rFont val="Arial"/>
        <charset val="1"/>
      </rPr>
      <t>, IP</t>
    </r>
    <r>
      <rPr>
        <sz val="10"/>
        <rFont val="Noto Sans CJK SC"/>
        <family val="2"/>
      </rPr>
      <t>정보 스타트업 해외진출 지원</t>
    </r>
  </si>
  <si>
    <t>/main/sub03/sub0301</t>
  </si>
  <si>
    <r>
      <rPr>
        <sz val="10"/>
        <rFont val="Arial"/>
        <charset val="1"/>
      </rPr>
      <t>2005</t>
    </r>
    <r>
      <rPr>
        <sz val="10"/>
        <rFont val="Noto Sans CJK SC"/>
        <family val="2"/>
      </rPr>
      <t>년부터 개최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지식재산처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한국특허정보원 공동 주최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 xml:space="preserve">참가자 </t>
    </r>
    <r>
      <rPr>
        <sz val="10"/>
        <rFont val="Arial"/>
        <charset val="1"/>
      </rPr>
      <t>700</t>
    </r>
    <r>
      <rPr>
        <sz val="10"/>
        <rFont val="Noto Sans CJK SC"/>
        <family val="2"/>
      </rPr>
      <t>여명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 xml:space="preserve">전시업체 </t>
    </r>
    <r>
      <rPr>
        <sz val="10"/>
        <rFont val="Arial"/>
        <charset val="1"/>
      </rPr>
      <t>20</t>
    </r>
    <r>
      <rPr>
        <sz val="10"/>
        <rFont val="Noto Sans CJK SC"/>
        <family val="2"/>
      </rPr>
      <t>여개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전시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컨퍼런스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부대행사 구성</t>
    </r>
  </si>
  <si>
    <t>/main/sub03/sub0303</t>
  </si>
  <si>
    <t>지능정보 지식베이스(특허기술용어사전, 조성/물성, 기계번역 코퍼스), 사전학습 언어모델, 특징 추출·기술분류·유사특허검색 모델 연구</t>
  </si>
  <si>
    <t>지능정보화센터 · 지능정보전략실</t>
  </si>
  <si>
    <t>/main/sub03/sub0304</t>
  </si>
  <si>
    <t>특허넷(KIPOnet) 응용·기반시스템 24시간 365일 운영. 재난복구·이중화 훈련, 보안관제, 법·제도 반영, 지식재산처 정보화 품질관리·전자정부 대응</t>
  </si>
  <si>
    <t>/main/sub03/sub0201</t>
  </si>
  <si>
    <t>특허고객상담센터(1544-8080) 운영. 전화·채팅(카카오톡)·챗봇(24시간) 상담, PC원격상담(전자출원SW 오류), 전화상담예약, 해피콜, 납부기간 문자안내</t>
  </si>
  <si>
    <t>정보활용본부 · IP고객상담실</t>
  </si>
  <si>
    <t>/main/sub03/sub0202</t>
  </si>
  <si>
    <t>대상국 IP 정보화 컨설팅(현황조사·목표모델·경제적 효과), 한국형 IP행정정보화 시스템 구축(분석→설계→개발→유지보수), 운영역량 교육</t>
  </si>
  <si>
    <t>/main/sub03/sub0305</t>
  </si>
  <si>
    <t>보유 기술·지식재산권·연구논문·학습데이터의 기술이전(공고→신청→계약조건 협상→계약체결→기술지도), 보유기술목록·기술홍보자료·최신기술동향 공개</t>
  </si>
  <si>
    <t>경영관리본부 · 전략기획실</t>
  </si>
  <si>
    <r>
      <rPr>
        <sz val="10"/>
        <rFont val="Arial"/>
        <charset val="1"/>
      </rPr>
      <t>/main/sub03/sub0401~0404 (</t>
    </r>
    <r>
      <rPr>
        <sz val="10"/>
        <rFont val="Noto Sans CJK SC"/>
        <family val="2"/>
      </rPr>
      <t xml:space="preserve">담당 표기 지능정보전략실 </t>
    </r>
    <r>
      <rPr>
        <sz val="10"/>
        <rFont val="Arial"/>
        <charset val="1"/>
      </rPr>
      <t xml:space="preserve">/ </t>
    </r>
    <r>
      <rPr>
        <sz val="10"/>
        <rFont val="Noto Sans CJK SC"/>
        <family val="2"/>
      </rPr>
      <t xml:space="preserve">업무분장표 </t>
    </r>
    <r>
      <rPr>
        <sz val="10"/>
        <rFont val="Arial"/>
        <charset val="1"/>
      </rPr>
      <t xml:space="preserve">BB110: </t>
    </r>
    <r>
      <rPr>
        <sz val="10"/>
        <rFont val="Noto Sans CJK SC"/>
        <family val="2"/>
      </rPr>
      <t>전략기획실 혁신성과팀</t>
    </r>
    <r>
      <rPr>
        <sz val="10"/>
        <rFont val="Arial"/>
        <charset val="1"/>
      </rPr>
      <t>)</t>
    </r>
  </si>
  <si>
    <t>합계</t>
  </si>
  <si>
    <t>설명</t>
  </si>
  <si>
    <t>문항 수</t>
  </si>
  <si>
    <t>비율</t>
  </si>
  <si>
    <t>권장 비율</t>
  </si>
  <si>
    <t>명확 — 업무명이 민원 문장에 거의 드러남</t>
  </si>
  <si>
    <t>보통 — 유사 사업과 혼동 가능</t>
  </si>
  <si>
    <t>어려움 — 세부 업무 지식 필요</t>
  </si>
  <si>
    <t>민원 연결의 神 — 문제 은행 작성 가이드</t>
  </si>
  <si>
    <t>■ 이 파일의 용도</t>
  </si>
  <si>
    <t>게임에서 민원인이 말하는 문장과 정답 부서를 정의하는 원본 데이터입니다.</t>
  </si>
  <si>
    <r>
      <rPr>
        <sz val="10"/>
        <rFont val="Arial"/>
        <charset val="1"/>
      </rPr>
      <t xml:space="preserve">frontend/src/data/complaints.ts </t>
    </r>
    <r>
      <rPr>
        <sz val="10"/>
        <rFont val="Noto Sans CJK SC"/>
        <family val="2"/>
      </rPr>
      <t>로 변환해 게임에 반영합니다</t>
    </r>
    <r>
      <rPr>
        <sz val="10"/>
        <rFont val="Arial"/>
        <charset val="1"/>
      </rPr>
      <t>.</t>
    </r>
  </si>
  <si>
    <t>■ 채워야 할 칸 (노란색)</t>
  </si>
  <si>
    <t>문제은행 시트의 행을 아래로 계속 추가하시면 됩니다.</t>
  </si>
  <si>
    <t>정답 분류 / 오답후보 / 난이도 / 검수상태는 드롭다운으로 선택합니다.</t>
  </si>
  <si>
    <t>■ 작성 규칙</t>
  </si>
  <si>
    <t>민원인이 실제로 할 법한 말투. 40자 이내. 부서명을 그대로 쓰지 말 것</t>
  </si>
  <si>
    <t>분류체계 시트의 14개 중 하나. 새 분류가 필요하면 먼저 분류체계에 추가</t>
  </si>
  <si>
    <t>오답후보</t>
  </si>
  <si>
    <t>헷갈리기 쉬운 분류를 1~3개. 비워두면 무작위로 채워짐</t>
  </si>
  <si>
    <t>왜 그 분류인지 한 줄. 45자 이내. 오답 시 화면에 그대로 표시됨</t>
  </si>
  <si>
    <r>
      <rPr>
        <sz val="10"/>
        <rFont val="Arial"/>
        <charset val="1"/>
      </rPr>
      <t>1=</t>
    </r>
    <r>
      <rPr>
        <sz val="10"/>
        <rFont val="Noto Sans CJK SC"/>
        <family val="2"/>
      </rPr>
      <t xml:space="preserve">명확 </t>
    </r>
    <r>
      <rPr>
        <sz val="10"/>
        <rFont val="Arial"/>
        <charset val="1"/>
      </rPr>
      <t>/ 2=</t>
    </r>
    <r>
      <rPr>
        <sz val="10"/>
        <rFont val="Noto Sans CJK SC"/>
        <family val="2"/>
      </rPr>
      <t xml:space="preserve">혼동 가능 </t>
    </r>
    <r>
      <rPr>
        <sz val="10"/>
        <rFont val="Arial"/>
        <charset val="1"/>
      </rPr>
      <t>/ 3=</t>
    </r>
    <r>
      <rPr>
        <sz val="10"/>
        <rFont val="Noto Sans CJK SC"/>
        <family val="2"/>
      </rPr>
      <t>세부 지식 필요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 xml:space="preserve">목표 비율 </t>
    </r>
    <r>
      <rPr>
        <sz val="10"/>
        <rFont val="Arial"/>
        <charset val="1"/>
      </rPr>
      <t>4:4:2</t>
    </r>
  </si>
  <si>
    <t>근거 자료. 예: 브로슈어 p.07-08, kipi.or.kr 주요사업, 부서 담당자 확인</t>
  </si>
  <si>
    <t>해당 부서 담당자 확인을 받으면 검수완료로 변경</t>
  </si>
  <si>
    <t>■ 예시 (이 행 형식 그대로 작성)</t>
  </si>
  <si>
    <t>1</t>
  </si>
  <si>
    <t>브로슈어 p.07-08</t>
  </si>
  <si>
    <t>■ 목표 물량</t>
  </si>
  <si>
    <r>
      <rPr>
        <sz val="10"/>
        <rFont val="Arial"/>
        <charset val="1"/>
      </rPr>
      <t>1</t>
    </r>
    <r>
      <rPr>
        <sz val="10"/>
        <rFont val="Noto Sans CJK SC"/>
        <family val="2"/>
      </rPr>
      <t xml:space="preserve">판 </t>
    </r>
    <r>
      <rPr>
        <sz val="10"/>
        <rFont val="Arial"/>
        <charset val="1"/>
      </rPr>
      <t>180</t>
    </r>
    <r>
      <rPr>
        <sz val="10"/>
        <rFont val="Noto Sans CJK SC"/>
        <family val="2"/>
      </rPr>
      <t xml:space="preserve">초에 </t>
    </r>
    <r>
      <rPr>
        <sz val="10"/>
        <rFont val="Arial"/>
        <charset val="1"/>
      </rPr>
      <t>50~60</t>
    </r>
    <r>
      <rPr>
        <sz val="10"/>
        <rFont val="Noto Sans CJK SC"/>
        <family val="2"/>
      </rPr>
      <t>문항이 소비되고</t>
    </r>
    <r>
      <rPr>
        <sz val="10"/>
        <rFont val="Arial"/>
        <charset val="1"/>
      </rPr>
      <t>, 1</t>
    </r>
    <r>
      <rPr>
        <sz val="10"/>
        <rFont val="Noto Sans CJK SC"/>
        <family val="2"/>
      </rPr>
      <t xml:space="preserve">인 </t>
    </r>
    <r>
      <rPr>
        <sz val="10"/>
        <rFont val="Arial"/>
        <charset val="1"/>
      </rPr>
      <t>3</t>
    </r>
    <r>
      <rPr>
        <sz val="10"/>
        <rFont val="Noto Sans CJK SC"/>
        <family val="2"/>
      </rPr>
      <t xml:space="preserve">회 플레이 시 </t>
    </r>
    <r>
      <rPr>
        <sz val="10"/>
        <rFont val="Arial"/>
        <charset val="1"/>
      </rPr>
      <t>150~180</t>
    </r>
    <r>
      <rPr>
        <sz val="10"/>
        <rFont val="Noto Sans CJK SC"/>
        <family val="2"/>
      </rPr>
      <t>문항이 필요합니다</t>
    </r>
    <r>
      <rPr>
        <sz val="10"/>
        <rFont val="Arial"/>
        <charset val="1"/>
      </rPr>
      <t>.</t>
    </r>
  </si>
  <si>
    <t>중복 체감을 막으려면 최소 200문항을 확보해야 합니다.</t>
  </si>
  <si>
    <t>현재 100문항이므로 100문항이 더 필요합니다.</t>
  </si>
  <si>
    <t>부서별 담당자에게 5문항씩 요청해 분산 수집하는 방식을 권장합니다.</t>
  </si>
  <si>
    <t>■ 출처 표기 원칙</t>
  </si>
  <si>
    <t>브로슈어 = 첨부된 KIPI 국영문 브로슈어 (발행일 2020-10-15). 쪽수는 인쇄면 번호.</t>
  </si>
  <si>
    <r>
      <rPr>
        <sz val="10"/>
        <rFont val="Arial"/>
        <charset val="1"/>
      </rPr>
      <t xml:space="preserve">kipi.or.kr </t>
    </r>
    <r>
      <rPr>
        <sz val="10"/>
        <rFont val="Noto Sans CJK SC"/>
        <family val="2"/>
      </rPr>
      <t xml:space="preserve">주요사업 </t>
    </r>
    <r>
      <rPr>
        <sz val="10"/>
        <rFont val="Arial"/>
        <charset val="1"/>
      </rPr>
      <t xml:space="preserve">= </t>
    </r>
    <r>
      <rPr>
        <sz val="10"/>
        <rFont val="Noto Sans CJK SC"/>
        <family val="2"/>
      </rPr>
      <t>홈페이지 주요사업 메뉴 구조</t>
    </r>
    <r>
      <rPr>
        <sz val="10"/>
        <rFont val="Arial"/>
        <charset val="1"/>
      </rPr>
      <t>.</t>
    </r>
  </si>
  <si>
    <t>주의: 브로슈어는 2020년 발행본입니다. 조직 개편이나 사업 변경 사항은</t>
  </si>
  <si>
    <t>반드시 현행 조직도와 대조해 검수하십시오.</t>
  </si>
  <si>
    <t>■ 조사 범위</t>
  </si>
  <si>
    <t>조사일</t>
  </si>
  <si>
    <r>
      <rPr>
        <sz val="10"/>
        <rFont val="Arial"/>
        <charset val="1"/>
      </rPr>
      <t xml:space="preserve">2026-08-13. www.kipi.or.kr </t>
    </r>
    <r>
      <rPr>
        <sz val="10"/>
        <rFont val="Noto Sans CJK SC"/>
        <family val="2"/>
      </rPr>
      <t xml:space="preserve">주요사업 하위 </t>
    </r>
    <r>
      <rPr>
        <sz val="10"/>
        <rFont val="Arial"/>
        <charset val="1"/>
      </rPr>
      <t>14</t>
    </r>
    <r>
      <rPr>
        <sz val="10"/>
        <rFont val="Noto Sans CJK SC"/>
        <family val="2"/>
      </rPr>
      <t xml:space="preserve">개 페이지 </t>
    </r>
    <r>
      <rPr>
        <sz val="10"/>
        <rFont val="Arial"/>
        <charset val="1"/>
      </rPr>
      <t xml:space="preserve">+ </t>
    </r>
    <r>
      <rPr>
        <sz val="10"/>
        <rFont val="Noto Sans CJK SC"/>
        <family val="2"/>
      </rPr>
      <t xml:space="preserve">사이트맵 </t>
    </r>
    <r>
      <rPr>
        <sz val="10"/>
        <rFont val="Arial"/>
        <charset val="1"/>
      </rPr>
      <t xml:space="preserve">+ </t>
    </r>
    <r>
      <rPr>
        <sz val="10"/>
        <rFont val="Noto Sans CJK SC"/>
        <family val="2"/>
      </rPr>
      <t>조직안내 전문 열람</t>
    </r>
  </si>
  <si>
    <t>메뉴 구조</t>
  </si>
  <si>
    <r>
      <rPr>
        <sz val="10"/>
        <rFont val="Arial"/>
        <charset val="1"/>
      </rPr>
      <t>4</t>
    </r>
    <r>
      <rPr>
        <sz val="10"/>
        <rFont val="Noto Sans CJK SC"/>
        <family val="2"/>
      </rPr>
      <t xml:space="preserve">개 사업영역 </t>
    </r>
    <r>
      <rPr>
        <sz val="10"/>
        <rFont val="Arial"/>
        <charset val="1"/>
      </rPr>
      <t>/ 14</t>
    </r>
    <r>
      <rPr>
        <sz val="10"/>
        <rFont val="Noto Sans CJK SC"/>
        <family val="2"/>
      </rPr>
      <t>개 사업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기존 분류체계와 구조 일치 — 분류 신설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폐지 없음</t>
    </r>
  </si>
  <si>
    <t>■ 전사적 변경</t>
  </si>
  <si>
    <t>기관명</t>
  </si>
  <si>
    <t>특허청 → 지식재산처. 사이트 전 페이지에서 확인. 해설 문구 반영 완료(c004, c019)</t>
  </si>
  <si>
    <t>■ 정답 오류 수정 (2건)</t>
  </si>
  <si>
    <t>지식재산 정보화 R&amp;D → 특허고객 상담서비스. 챗봇상담은 상담센터가 실제 운영 중인 서비스이며 현행 R&amp;D 과제 목록에 자동 특허상담 없음</t>
  </si>
  <si>
    <t>특허넷시스템 운영 → 특허고객 상담서비스. 전자출원SW 오류는 PC원격상담 서비스 소관으로 명시됨</t>
  </si>
  <si>
    <t>■ 해설 현행화 (21건)</t>
  </si>
  <si>
    <t>대상</t>
  </si>
  <si>
    <t>c002 c004 c011 c013 c016 c019 c020 c021 c030 c035 c039 c048 c050 c051 c052 c053 c061 c067 c069 c071 c072</t>
  </si>
  <si>
    <t>주요 사유</t>
  </si>
  <si>
    <r>
      <rPr>
        <sz val="10"/>
        <rFont val="Arial"/>
        <charset val="1"/>
      </rPr>
      <t>① 39</t>
    </r>
    <r>
      <rPr>
        <sz val="10"/>
        <rFont val="Noto Sans CJK SC"/>
        <family val="2"/>
      </rPr>
      <t xml:space="preserve">개 기관 → </t>
    </r>
    <r>
      <rPr>
        <sz val="10"/>
        <rFont val="Arial"/>
        <charset val="1"/>
      </rPr>
      <t xml:space="preserve">IP5 </t>
    </r>
    <r>
      <rPr>
        <sz val="10"/>
        <rFont val="Noto Sans CJK SC"/>
        <family val="2"/>
      </rPr>
      <t xml:space="preserve">등 해외 주요기관  ② 나의 관심특허 → 검색식 메일링  ③ 찾아가는 특허서비스 → </t>
    </r>
    <r>
      <rPr>
        <sz val="10"/>
        <rFont val="Arial"/>
        <charset val="1"/>
      </rPr>
      <t xml:space="preserve">KIPRIS </t>
    </r>
    <r>
      <rPr>
        <sz val="10"/>
        <rFont val="Noto Sans CJK SC"/>
        <family val="2"/>
      </rPr>
      <t>연계</t>
    </r>
  </si>
  <si>
    <r>
      <rPr>
        <sz val="10"/>
        <rFont val="Arial"/>
        <charset val="1"/>
      </rPr>
      <t>④ IP</t>
    </r>
    <r>
      <rPr>
        <sz val="10"/>
        <rFont val="Noto Sans CJK SC"/>
        <family val="2"/>
      </rPr>
      <t xml:space="preserve">정보통합센터 서술을 민간 클라우드 기준으로 전면 교체  ⑤ </t>
    </r>
    <r>
      <rPr>
        <sz val="10"/>
        <rFont val="Arial"/>
        <charset val="1"/>
      </rPr>
      <t>Bulk/Open API</t>
    </r>
    <r>
      <rPr>
        <sz val="10"/>
        <rFont val="Noto Sans CJK SC"/>
        <family val="2"/>
      </rPr>
      <t>의 실시간 표현 교정</t>
    </r>
  </si>
  <si>
    <t>■ 보류 (14건) — 사이트에서 확인 불가</t>
  </si>
  <si>
    <t>c041~c047</t>
  </si>
  <si>
    <t>지식재산 통계서비스. 현행 주요사업 메뉴에 항목 없고 ipstat.kipi.or.kr 접속 불가. 담당부서 확인 필요</t>
  </si>
  <si>
    <r>
      <rPr>
        <sz val="10"/>
        <rFont val="Arial"/>
        <charset val="1"/>
      </rPr>
      <t xml:space="preserve">KIPRIS </t>
    </r>
    <r>
      <rPr>
        <sz val="10"/>
        <rFont val="Noto Sans CJK SC"/>
        <family val="2"/>
      </rPr>
      <t>비특허문헌</t>
    </r>
    <r>
      <rPr>
        <sz val="10"/>
        <rFont val="Arial"/>
        <charset val="1"/>
      </rPr>
      <t xml:space="preserve">(NPL) </t>
    </r>
    <r>
      <rPr>
        <sz val="10"/>
        <rFont val="Noto Sans CJK SC"/>
        <family val="2"/>
      </rPr>
      <t>검색 기능 언급 없음</t>
    </r>
  </si>
  <si>
    <r>
      <rPr>
        <sz val="10"/>
        <rFont val="Arial"/>
        <charset val="1"/>
      </rPr>
      <t xml:space="preserve">Open API </t>
    </r>
    <r>
      <rPr>
        <sz val="10"/>
        <rFont val="Noto Sans CJK SC"/>
        <family val="2"/>
      </rPr>
      <t>인증키 발급 절차가 사업 소개 페이지에 없음</t>
    </r>
  </si>
  <si>
    <t>현행 R&amp;D 과제 목록에 도면 유사 추출 없음</t>
  </si>
  <si>
    <t>c086 c088</t>
  </si>
  <si>
    <t>외국어 상담·상담 이력 조회 여부 상담 페이지에 명시 없음</t>
  </si>
  <si>
    <t>c091 c092</t>
  </si>
  <si>
    <r>
      <rPr>
        <sz val="10"/>
        <rFont val="Arial"/>
        <charset val="1"/>
      </rPr>
      <t xml:space="preserve">UAE·ARIPO </t>
    </r>
    <r>
      <rPr>
        <sz val="10"/>
        <rFont val="Noto Sans CJK SC"/>
        <family val="2"/>
      </rPr>
      <t xml:space="preserve">및 </t>
    </r>
    <r>
      <rPr>
        <sz val="10"/>
        <rFont val="Arial"/>
        <charset val="1"/>
      </rPr>
      <t>13</t>
    </r>
    <r>
      <rPr>
        <sz val="10"/>
        <rFont val="Noto Sans CJK SC"/>
        <family val="2"/>
      </rPr>
      <t>개국 수치가 현행 국제협력 페이지에 없음</t>
    </r>
  </si>
  <si>
    <t>■ 신규 문항 (c101~c200)</t>
  </si>
  <si>
    <t>배분</t>
  </si>
  <si>
    <t>통계서비스를 제외한 13개 분류에 배정. 분류당 14~15문항으로 균등화</t>
  </si>
  <si>
    <t>전 문항 직접 열람한 페이지 URL 기재. 추정 서술 없음</t>
  </si>
  <si>
    <t>■ 난이도</t>
  </si>
  <si>
    <t>결과</t>
  </si>
  <si>
    <r>
      <rPr>
        <sz val="10"/>
        <rFont val="Arial"/>
        <charset val="1"/>
      </rPr>
      <t xml:space="preserve">51 : 103 : 46 (25.5% : 51.5% : 23%). </t>
    </r>
    <r>
      <rPr>
        <sz val="10"/>
        <rFont val="Noto Sans CJK SC"/>
        <family val="2"/>
      </rPr>
      <t xml:space="preserve">목표 </t>
    </r>
    <r>
      <rPr>
        <sz val="10"/>
        <rFont val="Arial"/>
        <charset val="1"/>
      </rPr>
      <t xml:space="preserve">40:40:20 </t>
    </r>
    <r>
      <rPr>
        <sz val="10"/>
        <rFont val="Noto Sans CJK SC"/>
        <family val="2"/>
      </rPr>
      <t>미달</t>
    </r>
  </si>
  <si>
    <t>사유</t>
  </si>
  <si>
    <t>기존 100문항이 25:46:29여서 200문항에서 목표 달성에 필요한 신규 배분은 55:34:11.</t>
  </si>
  <si>
    <t>난이도 1은 업무 성격이 문장에 드러나야 하는데, 이는 작성 규칙 ①(민원 문장에 정답 금지)과 상충.</t>
  </si>
  <si>
    <t>권장</t>
  </si>
  <si>
    <t>목표를 25:50:25로 조정하거나, 난이도 1을 늘리려면 규칙 ①의 예외 범위를 먼저 정할 것</t>
  </si>
  <si>
    <t>■ 남은 과제 (이번 작업 범위 밖)</t>
  </si>
  <si>
    <t>정답 노출</t>
  </si>
  <si>
    <t>기존 문항 22건이 민원 문장에 정답 분류명을 그대로 포함(번역 7/8, 통계 6/7, KPA 4/6).</t>
  </si>
  <si>
    <t>업무 지식이 아닌 글자 매칭 문제가 됨. 문장 재작성 권장 — 정답 자체는 맞으므로 검수완료 처리</t>
  </si>
  <si>
    <t>오답 편중</t>
  </si>
  <si>
    <t>오답후보 노출이 데이터관리센터·특허넷에 집중. 신규 문항에서 완화했으나 추가 조정 여지 있음</t>
  </si>
  <si>
    <t>통계서비스</t>
  </si>
  <si>
    <t>존속 여부에 따라 7문항을 살릴지 폐기할지 결정 필요. 폐기 시 분류 13개로 축소</t>
  </si>
  <si>
    <r>
      <rPr>
        <b/>
        <sz val="10"/>
        <color rgb="FF1B4F9C"/>
        <rFont val="Arial"/>
        <charset val="1"/>
      </rPr>
      <t>■ 2</t>
    </r>
    <r>
      <rPr>
        <b/>
        <sz val="10"/>
        <color rgb="FF1B4F9C"/>
        <rFont val="Noto Sans CJK SC"/>
        <family val="2"/>
      </rPr>
      <t xml:space="preserve">차 수정 </t>
    </r>
    <r>
      <rPr>
        <b/>
        <sz val="10"/>
        <color rgb="FF1B4F9C"/>
        <rFont val="Arial"/>
        <charset val="1"/>
      </rPr>
      <t>(</t>
    </r>
    <r>
      <rPr>
        <b/>
        <sz val="10"/>
        <color rgb="FF1B4F9C"/>
        <rFont val="Noto Sans CJK SC"/>
        <family val="2"/>
      </rPr>
      <t xml:space="preserve">분류 표기 체계 </t>
    </r>
    <r>
      <rPr>
        <b/>
        <sz val="10"/>
        <color rgb="FF1B4F9C"/>
        <rFont val="Arial"/>
        <charset val="1"/>
      </rPr>
      <t xml:space="preserve">· </t>
    </r>
    <r>
      <rPr>
        <b/>
        <sz val="10"/>
        <color rgb="FF1B4F9C"/>
        <rFont val="Noto Sans CJK SC"/>
        <family val="2"/>
      </rPr>
      <t>정답 노출</t>
    </r>
    <r>
      <rPr>
        <b/>
        <sz val="10"/>
        <color rgb="FF1B4F9C"/>
        <rFont val="Arial"/>
        <charset val="1"/>
      </rPr>
      <t>)</t>
    </r>
  </si>
  <si>
    <t>표기 체계</t>
  </si>
  <si>
    <r>
      <rPr>
        <sz val="10"/>
        <rFont val="Arial"/>
        <charset val="1"/>
      </rPr>
      <t>C</t>
    </r>
    <r>
      <rPr>
        <sz val="10"/>
        <rFont val="Noto Sans CJK SC"/>
        <family val="2"/>
      </rPr>
      <t>안 채택 — 버튼을 「본부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 xml:space="preserve">실 배지 </t>
    </r>
    <r>
      <rPr>
        <sz val="10"/>
        <rFont val="Arial"/>
        <charset val="1"/>
      </rPr>
      <t xml:space="preserve">+ </t>
    </r>
    <r>
      <rPr>
        <sz val="10"/>
        <rFont val="Noto Sans CJK SC"/>
        <family val="2"/>
      </rPr>
      <t xml:space="preserve">서비스명」 </t>
    </r>
    <r>
      <rPr>
        <sz val="10"/>
        <rFont val="Arial"/>
        <charset val="1"/>
      </rPr>
      <t>2</t>
    </r>
    <r>
      <rPr>
        <sz val="10"/>
        <rFont val="Noto Sans CJK SC"/>
        <family val="2"/>
      </rPr>
      <t>단으로 표시</t>
    </r>
    <r>
      <rPr>
        <sz val="10"/>
        <rFont val="Arial"/>
        <charset val="1"/>
      </rPr>
      <t>.</t>
    </r>
  </si>
  <si>
    <t>정답 분류 값은 키로 유지(오답후보 참조 안정성). 표시 부서는 분류체계 D열에서 수식 조회 — 문제은행 D열 직접 수정 금지</t>
  </si>
  <si>
    <t>부서 확정</t>
  </si>
  <si>
    <t>국제협력팀은 IP정보확산실 소속으로 확인. 실 단위로 배지 통일</t>
  </si>
  <si>
    <r>
      <rPr>
        <sz val="10"/>
        <color rgb="FF000000"/>
        <rFont val="Arial"/>
        <charset val="1"/>
      </rPr>
      <t>IP</t>
    </r>
    <r>
      <rPr>
        <sz val="10"/>
        <color rgb="FF000000"/>
        <rFont val="Noto Sans CJK SC"/>
        <family val="2"/>
      </rPr>
      <t>정보확산실</t>
    </r>
  </si>
  <si>
    <r>
      <rPr>
        <sz val="10"/>
        <rFont val="Arial"/>
        <charset val="1"/>
      </rPr>
      <t>KIPRIS·KIPRISPlus·PATINEX·</t>
    </r>
    <r>
      <rPr>
        <sz val="10"/>
        <rFont val="Noto Sans CJK SC"/>
        <family val="2"/>
      </rPr>
      <t>국제협력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 xml:space="preserve">번역 </t>
    </r>
    <r>
      <rPr>
        <sz val="10"/>
        <rFont val="Arial"/>
        <charset val="1"/>
      </rPr>
      <t>5</t>
    </r>
    <r>
      <rPr>
        <sz val="10"/>
        <rFont val="Noto Sans CJK SC"/>
        <family val="2"/>
      </rPr>
      <t>개 사업 담당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 xml:space="preserve">배지 </t>
    </r>
    <r>
      <rPr>
        <sz val="10"/>
        <rFont val="Arial"/>
        <charset val="1"/>
      </rPr>
      <t>5</t>
    </r>
    <r>
      <rPr>
        <sz val="10"/>
        <rFont val="Noto Sans CJK SC"/>
        <family val="2"/>
      </rPr>
      <t>회 반복되므로 배지는 작게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서비스명을 크게</t>
    </r>
  </si>
  <si>
    <t>■ 정답 노출 수정 (39건)</t>
  </si>
  <si>
    <r>
      <rPr>
        <sz val="10"/>
        <rFont val="Arial"/>
        <charset val="1"/>
      </rPr>
      <t>49</t>
    </r>
    <r>
      <rPr>
        <sz val="10"/>
        <rFont val="Noto Sans CJK SC"/>
        <family val="2"/>
      </rPr>
      <t xml:space="preserve">건 → </t>
    </r>
    <r>
      <rPr>
        <sz val="10"/>
        <rFont val="Arial"/>
        <charset val="1"/>
      </rPr>
      <t>6</t>
    </r>
    <r>
      <rPr>
        <sz val="10"/>
        <rFont val="Noto Sans CJK SC"/>
        <family val="2"/>
      </rPr>
      <t>건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 xml:space="preserve">잔여 </t>
    </r>
    <r>
      <rPr>
        <sz val="10"/>
        <rFont val="Arial"/>
        <charset val="1"/>
      </rPr>
      <t>6</t>
    </r>
    <r>
      <rPr>
        <sz val="10"/>
        <rFont val="Noto Sans CJK SC"/>
        <family val="2"/>
      </rPr>
      <t>건은 전부 통계서비스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보류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게임 제외</t>
    </r>
    <r>
      <rPr>
        <sz val="10"/>
        <rFont val="Arial"/>
        <charset val="1"/>
      </rPr>
      <t>)</t>
    </r>
    <r>
      <rPr>
        <sz val="10"/>
        <rFont val="Noto Sans CJK SC"/>
        <family val="2"/>
      </rPr>
      <t xml:space="preserve">이므로 실질 </t>
    </r>
    <r>
      <rPr>
        <sz val="10"/>
        <rFont val="Arial"/>
        <charset val="1"/>
      </rPr>
      <t>0</t>
    </r>
    <r>
      <rPr>
        <sz val="10"/>
        <rFont val="Noto Sans CJK SC"/>
        <family val="2"/>
      </rPr>
      <t>건</t>
    </r>
  </si>
  <si>
    <t>수정 원칙</t>
  </si>
  <si>
    <t>민원인이 겪는 상황으로 환원. 정답 분류·해설·오답후보·난이도는 손대지 않음</t>
  </si>
  <si>
    <t>번역서비스</t>
  </si>
  <si>
    <r>
      <rPr>
        <sz val="10"/>
        <rFont val="Arial"/>
        <charset val="1"/>
      </rPr>
      <t xml:space="preserve">13/15 → 0/15. </t>
    </r>
    <r>
      <rPr>
        <sz val="10"/>
        <rFont val="Noto Sans CJK SC"/>
        <family val="2"/>
      </rPr>
      <t>번역 → 영문화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영문본으로 상황 서술 전환</t>
    </r>
  </si>
  <si>
    <t>상담서비스</t>
  </si>
  <si>
    <r>
      <rPr>
        <sz val="10"/>
        <rFont val="Arial"/>
        <charset val="1"/>
      </rPr>
      <t xml:space="preserve">9/15 → 0/15. </t>
    </r>
    <r>
      <rPr>
        <sz val="10"/>
        <rFont val="Noto Sans CJK SC"/>
        <family val="2"/>
      </rPr>
      <t>상담 → 문의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안내로 전환</t>
    </r>
  </si>
  <si>
    <t>방침</t>
  </si>
  <si>
    <t>목표 비율은 참고선으로만 두기로 함. 난이도 1이 다소 쉬운 문항을 포함하는 것을 허용</t>
  </si>
  <si>
    <t>■ 남은 확인 사항</t>
  </si>
  <si>
    <r>
      <rPr>
        <sz val="10"/>
        <rFont val="Arial"/>
        <charset val="1"/>
      </rPr>
      <t>7</t>
    </r>
    <r>
      <rPr>
        <sz val="10"/>
        <rFont val="Noto Sans CJK SC"/>
        <family val="2"/>
      </rPr>
      <t>문항 보류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게임 제외 유지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존속 여부 확인 시 부서 배지 부여 후 복귀</t>
    </r>
  </si>
  <si>
    <t>미노출 조직</t>
  </si>
  <si>
    <t>전략기획실·경영지원실·IP시스템전략실·IP시스템운영실·지능정보기술실·분석플랫폼전략실·감사팀</t>
  </si>
  <si>
    <t>주요사업 페이지가 없어 출제 근거 없음. 대민 접점이 아니므로 이번 범위에서 제외</t>
  </si>
  <si>
    <r>
      <rPr>
        <b/>
        <sz val="10"/>
        <color rgb="FF1B4F9C"/>
        <rFont val="Arial"/>
        <charset val="1"/>
      </rPr>
      <t>■ 3</t>
    </r>
    <r>
      <rPr>
        <b/>
        <sz val="10"/>
        <color rgb="FF1B4F9C"/>
        <rFont val="Noto Sans CJK SC"/>
        <family val="2"/>
      </rPr>
      <t>차 수정 — 담당 부서 확인분 반영</t>
    </r>
  </si>
  <si>
    <t>c033 c133</t>
  </si>
  <si>
    <t>정답 분류: 특허정보 번역서비스 → 한국특허영문초록(KPA). 난이도 3으로 상향</t>
  </si>
  <si>
    <t>근거</t>
  </si>
  <si>
    <r>
      <rPr>
        <sz val="10"/>
        <rFont val="Arial"/>
        <charset val="1"/>
      </rPr>
      <t xml:space="preserve">PCT </t>
    </r>
    <r>
      <rPr>
        <sz val="10"/>
        <rFont val="Noto Sans CJK SC"/>
        <family val="2"/>
      </rPr>
      <t xml:space="preserve">국제공개용 요약서 영문 제작은 </t>
    </r>
    <r>
      <rPr>
        <sz val="10"/>
        <rFont val="Arial"/>
        <charset val="1"/>
      </rPr>
      <t>IP</t>
    </r>
    <r>
      <rPr>
        <sz val="10"/>
        <rFont val="Noto Sans CJK SC"/>
        <family val="2"/>
      </rPr>
      <t>정보가공실 수행 — 해당 부서 담당자 확인</t>
    </r>
  </si>
  <si>
    <t>사이트와 상이</t>
  </si>
  <si>
    <r>
      <rPr>
        <sz val="10"/>
        <rFont val="Arial"/>
        <charset val="1"/>
      </rPr>
      <t xml:space="preserve">www.kipi.or.kr </t>
    </r>
    <r>
      <rPr>
        <sz val="10"/>
        <rFont val="Noto Sans CJK SC"/>
        <family val="2"/>
      </rPr>
      <t>번역서비스 페이지</t>
    </r>
    <r>
      <rPr>
        <sz val="10"/>
        <rFont val="Arial"/>
        <charset val="1"/>
      </rPr>
      <t>(sub010402)</t>
    </r>
    <r>
      <rPr>
        <sz val="10"/>
        <rFont val="Noto Sans CJK SC"/>
        <family val="2"/>
      </rPr>
      <t>의 담당부서는 국제협력팀</t>
    </r>
    <r>
      <rPr>
        <sz val="10"/>
        <rFont val="Arial"/>
        <charset val="1"/>
      </rPr>
      <t>(IP</t>
    </r>
    <r>
      <rPr>
        <sz val="10"/>
        <rFont val="Noto Sans CJK SC"/>
        <family val="2"/>
      </rPr>
      <t>정보확산실</t>
    </r>
    <r>
      <rPr>
        <sz val="10"/>
        <rFont val="Arial"/>
        <charset val="1"/>
      </rPr>
      <t>)</t>
    </r>
    <r>
      <rPr>
        <sz val="10"/>
        <rFont val="Noto Sans CJK SC"/>
        <family val="2"/>
      </rPr>
      <t>으로 표기됨</t>
    </r>
    <r>
      <rPr>
        <sz val="10"/>
        <rFont val="Arial"/>
        <charset val="1"/>
      </rPr>
      <t>.</t>
    </r>
  </si>
  <si>
    <t>사업 관리 부서와 실제 수행 부서가 다른 사례로 보임. 출처를 URL 대신 담당자 확인으로 기재</t>
  </si>
  <si>
    <t>영향</t>
  </si>
  <si>
    <t>번역서비스 15→13, KPA 15→17문항. 게임에서는 번역으로 오인하기 쉬운 최상 난이도 문항이 됨</t>
  </si>
  <si>
    <t>추가 점검 필요</t>
  </si>
  <si>
    <t>같은 유형(사업 페이지 담당부서 ≠ 실제 수행부서)이 다른 분류에도 있을 수 있음.</t>
  </si>
  <si>
    <t>특히 국제협력팀이 담당으로 표기된 번역서비스 잔여 13문항은 부서 확인 권장</t>
  </si>
  <si>
    <r>
      <rPr>
        <b/>
        <sz val="10"/>
        <color rgb="FF1B4F9C"/>
        <rFont val="Arial"/>
        <charset val="1"/>
      </rPr>
      <t>■ 4</t>
    </r>
    <r>
      <rPr>
        <b/>
        <sz val="10"/>
        <color rgb="FF1B4F9C"/>
        <rFont val="Noto Sans CJK SC"/>
        <family val="2"/>
      </rPr>
      <t>차 수정 — 업무분장표</t>
    </r>
    <r>
      <rPr>
        <b/>
        <sz val="10"/>
        <color rgb="FF1B4F9C"/>
        <rFont val="Arial"/>
        <charset val="1"/>
      </rPr>
      <t xml:space="preserve">(BB110, 2026.4.1 </t>
    </r>
    <r>
      <rPr>
        <b/>
        <sz val="10"/>
        <color rgb="FF1B4F9C"/>
        <rFont val="Noto Sans CJK SC"/>
        <family val="2"/>
      </rPr>
      <t>시행</t>
    </r>
    <r>
      <rPr>
        <b/>
        <sz val="10"/>
        <color rgb="FF1B4F9C"/>
        <rFont val="Arial"/>
        <charset val="1"/>
      </rPr>
      <t xml:space="preserve">) </t>
    </r>
    <r>
      <rPr>
        <b/>
        <sz val="10"/>
        <color rgb="FF1B4F9C"/>
        <rFont val="Noto Sans CJK SC"/>
        <family val="2"/>
      </rPr>
      <t>대조</t>
    </r>
  </si>
  <si>
    <t>원칙</t>
  </si>
  <si>
    <r>
      <rPr>
        <sz val="10"/>
        <rFont val="Noto Sans CJK SC"/>
        <family val="2"/>
      </rPr>
      <t>게임 분류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정답</t>
    </r>
    <r>
      <rPr>
        <sz val="10"/>
        <rFont val="Arial"/>
        <charset val="1"/>
      </rPr>
      <t>)</t>
    </r>
    <r>
      <rPr>
        <sz val="10"/>
        <rFont val="Noto Sans CJK SC"/>
        <family val="2"/>
      </rPr>
      <t>는 홈페이지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브로슈어 기준 유지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업무분장표는 실</t>
    </r>
    <r>
      <rPr>
        <sz val="10"/>
        <rFont val="Arial"/>
        <charset val="1"/>
      </rPr>
      <t>-</t>
    </r>
    <r>
      <rPr>
        <sz val="10"/>
        <rFont val="Noto Sans CJK SC"/>
        <family val="2"/>
      </rPr>
      <t>팀 연결과 부족분 보완에만 사용</t>
    </r>
  </si>
  <si>
    <t>구 조직명</t>
  </si>
  <si>
    <r>
      <rPr>
        <sz val="10"/>
        <rFont val="Noto Sans CJK SC"/>
        <family val="2"/>
      </rPr>
      <t>홈페이지 번역 페이지의 담당부서 표기 국제협력팀은 현 조직에 없음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실</t>
    </r>
    <r>
      <rPr>
        <sz val="10"/>
        <rFont val="Arial"/>
        <charset val="1"/>
      </rPr>
      <t>-</t>
    </r>
    <r>
      <rPr>
        <sz val="10"/>
        <rFont val="Noto Sans CJK SC"/>
        <family val="2"/>
      </rPr>
      <t>팀 매칭은 분장표 기준으로 정정</t>
    </r>
  </si>
  <si>
    <t>분류 분할</t>
  </si>
  <si>
    <r>
      <rPr>
        <sz val="10"/>
        <rFont val="Noto Sans CJK SC"/>
        <family val="2"/>
      </rPr>
      <t xml:space="preserve">특허정보 번역서비스 → </t>
    </r>
    <r>
      <rPr>
        <sz val="10"/>
        <rFont val="Arial"/>
        <charset val="1"/>
      </rPr>
      <t xml:space="preserve">PCT </t>
    </r>
    <r>
      <rPr>
        <sz val="10"/>
        <rFont val="Noto Sans CJK SC"/>
        <family val="2"/>
      </rPr>
      <t>국제출원문서 번역</t>
    </r>
    <r>
      <rPr>
        <sz val="10"/>
        <rFont val="Arial"/>
        <charset val="1"/>
      </rPr>
      <t xml:space="preserve">(6) + </t>
    </r>
    <r>
      <rPr>
        <sz val="10"/>
        <rFont val="Noto Sans CJK SC"/>
        <family val="2"/>
      </rPr>
      <t>한영 기계번역</t>
    </r>
    <r>
      <rPr>
        <sz val="10"/>
        <rFont val="Arial"/>
        <charset val="1"/>
      </rPr>
      <t xml:space="preserve">(K2E-PAT)(9). </t>
    </r>
    <r>
      <rPr>
        <sz val="10"/>
        <rFont val="Noto Sans CJK SC"/>
        <family val="2"/>
      </rPr>
      <t>홈페이지 탭 구조와 동일</t>
    </r>
  </si>
  <si>
    <t xml:space="preserve">  PCT</t>
  </si>
  <si>
    <r>
      <rPr>
        <sz val="10"/>
        <rFont val="Arial"/>
        <charset val="1"/>
      </rPr>
      <t>IP</t>
    </r>
    <r>
      <rPr>
        <sz val="10"/>
        <rFont val="Noto Sans CJK SC"/>
        <family val="2"/>
      </rPr>
      <t xml:space="preserve">정보가공실 </t>
    </r>
    <r>
      <rPr>
        <sz val="10"/>
        <rFont val="Arial"/>
        <charset val="1"/>
      </rPr>
      <t>WIPO</t>
    </r>
    <r>
      <rPr>
        <sz val="10"/>
        <rFont val="Noto Sans CJK SC"/>
        <family val="2"/>
      </rPr>
      <t>사업팀 — 「</t>
    </r>
    <r>
      <rPr>
        <sz val="10"/>
        <rFont val="Arial"/>
        <charset val="1"/>
      </rPr>
      <t xml:space="preserve">WIPO PCT </t>
    </r>
    <r>
      <rPr>
        <sz val="10"/>
        <rFont val="Noto Sans CJK SC"/>
        <family val="2"/>
      </rPr>
      <t>국제출원문서 번역사업 운영」</t>
    </r>
  </si>
  <si>
    <t xml:space="preserve">  K2E-PAT</t>
  </si>
  <si>
    <r>
      <rPr>
        <sz val="10"/>
        <rFont val="Noto Sans CJK SC"/>
        <family val="2"/>
      </rPr>
      <t>지능정보기술실 지능화번역팀 — 「기계번역 품질개선사업」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「인공신경망 기계번역 품질개선」</t>
    </r>
  </si>
  <si>
    <r>
      <rPr>
        <sz val="10"/>
        <rFont val="Arial"/>
        <charset val="1"/>
      </rPr>
      <t xml:space="preserve">KPA → PCT </t>
    </r>
    <r>
      <rPr>
        <sz val="10"/>
        <rFont val="Noto Sans CJK SC"/>
        <family val="2"/>
      </rPr>
      <t>국제출원문서 번역으로 재배정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 xml:space="preserve">배지는 </t>
    </r>
    <r>
      <rPr>
        <sz val="10"/>
        <rFont val="Arial"/>
        <charset val="1"/>
      </rPr>
      <t>IP</t>
    </r>
    <r>
      <rPr>
        <sz val="10"/>
        <rFont val="Noto Sans CJK SC"/>
        <family val="2"/>
      </rPr>
      <t>정보가공실로 동일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사업 귀속까지 정확해짐</t>
    </r>
  </si>
  <si>
    <t>기술지원</t>
  </si>
  <si>
    <r>
      <rPr>
        <sz val="10"/>
        <rFont val="Noto Sans CJK SC"/>
        <family val="2"/>
      </rPr>
      <t>배지 지능정보전략실 → 경영관리본부 전략기획실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혁신성과팀 「지재권 관리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기술이전 및 직무발명 운영」</t>
    </r>
    <r>
      <rPr>
        <sz val="10"/>
        <rFont val="Arial"/>
        <charset val="1"/>
      </rPr>
      <t>)</t>
    </r>
  </si>
  <si>
    <r>
      <rPr>
        <sz val="10"/>
        <rFont val="Noto Sans CJK SC"/>
        <family val="2"/>
      </rPr>
      <t xml:space="preserve">기존 특허정보 번역서비스 참조 </t>
    </r>
    <r>
      <rPr>
        <sz val="10"/>
        <rFont val="Arial"/>
        <charset val="1"/>
      </rPr>
      <t>18</t>
    </r>
    <r>
      <rPr>
        <sz val="10"/>
        <rFont val="Noto Sans CJK SC"/>
        <family val="2"/>
      </rPr>
      <t xml:space="preserve">건을 </t>
    </r>
    <r>
      <rPr>
        <sz val="10"/>
        <rFont val="Arial"/>
        <charset val="1"/>
      </rPr>
      <t>PCT/K2E-PAT</t>
    </r>
    <r>
      <rPr>
        <sz val="10"/>
        <rFont val="Noto Sans CJK SC"/>
        <family val="2"/>
      </rPr>
      <t>로 재지정</t>
    </r>
    <r>
      <rPr>
        <sz val="10"/>
        <rFont val="Arial"/>
        <charset val="1"/>
      </rPr>
      <t>. PCT↔K2E-PAT</t>
    </r>
    <r>
      <rPr>
        <sz val="10"/>
        <rFont val="Noto Sans CJK SC"/>
        <family val="2"/>
      </rPr>
      <t>를 상호 오답후보로 배치</t>
    </r>
  </si>
  <si>
    <t>분류 수</t>
  </si>
  <si>
    <r>
      <rPr>
        <sz val="10"/>
        <rFont val="Arial"/>
        <charset val="1"/>
      </rPr>
      <t>14 → 15</t>
    </r>
    <r>
      <rPr>
        <sz val="10"/>
        <rFont val="Noto Sans CJK SC"/>
        <family val="2"/>
      </rPr>
      <t xml:space="preserve">개 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 xml:space="preserve">게임 노출 </t>
    </r>
    <r>
      <rPr>
        <sz val="10"/>
        <rFont val="Arial"/>
        <charset val="1"/>
      </rPr>
      <t>14</t>
    </r>
    <r>
      <rPr>
        <sz val="10"/>
        <rFont val="Noto Sans CJK SC"/>
        <family val="2"/>
      </rPr>
      <t>개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통계서비스 제외 유지</t>
    </r>
    <r>
      <rPr>
        <sz val="10"/>
        <rFont val="Arial"/>
        <charset val="1"/>
      </rPr>
      <t>)</t>
    </r>
  </si>
  <si>
    <t>■ 미결 — 특허넷시스템 운영 배지</t>
  </si>
  <si>
    <t>현황</t>
  </si>
  <si>
    <r>
      <rPr>
        <sz val="10"/>
        <rFont val="Noto Sans CJK SC"/>
        <family val="2"/>
      </rPr>
      <t xml:space="preserve">배지 </t>
    </r>
    <r>
      <rPr>
        <sz val="10"/>
        <rFont val="Arial"/>
        <charset val="1"/>
      </rPr>
      <t>IP</t>
    </r>
    <r>
      <rPr>
        <sz val="10"/>
        <rFont val="Noto Sans CJK SC"/>
        <family val="2"/>
      </rPr>
      <t>시스템기반실 유지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홈페이지 특허넷 페이지 담당부서 표기와 일치</t>
    </r>
  </si>
  <si>
    <t>쟁점</t>
  </si>
  <si>
    <r>
      <rPr>
        <sz val="10"/>
        <rFont val="Noto Sans CJK SC"/>
        <family val="2"/>
      </rPr>
      <t xml:space="preserve">분장표상 특허넷은 </t>
    </r>
    <r>
      <rPr>
        <sz val="10"/>
        <rFont val="Arial"/>
        <charset val="1"/>
      </rPr>
      <t>IP</t>
    </r>
    <r>
      <rPr>
        <sz val="10"/>
        <rFont val="Noto Sans CJK SC"/>
        <family val="2"/>
      </rPr>
      <t>시스템전략실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개발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품질</t>
    </r>
    <r>
      <rPr>
        <sz val="10"/>
        <rFont val="Arial"/>
        <charset val="1"/>
      </rPr>
      <t>)·</t>
    </r>
    <r>
      <rPr>
        <sz val="10"/>
        <rFont val="Noto Sans CJK SC"/>
        <family val="2"/>
      </rPr>
      <t>운영실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시스템 운영</t>
    </r>
    <r>
      <rPr>
        <sz val="10"/>
        <rFont val="Arial"/>
        <charset val="1"/>
      </rPr>
      <t>)·</t>
    </r>
    <r>
      <rPr>
        <sz val="10"/>
        <rFont val="Noto Sans CJK SC"/>
        <family val="2"/>
      </rPr>
      <t>기반실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인프라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보안</t>
    </r>
    <r>
      <rPr>
        <sz val="10"/>
        <rFont val="Arial"/>
        <charset val="1"/>
      </rPr>
      <t>) 3</t>
    </r>
    <r>
      <rPr>
        <sz val="10"/>
        <rFont val="Noto Sans CJK SC"/>
        <family val="2"/>
      </rPr>
      <t>개 실에 걸침</t>
    </r>
  </si>
  <si>
    <t>■ 참고 — 통계서비스 담당 확인</t>
  </si>
  <si>
    <t>분장표</t>
  </si>
  <si>
    <t>분석플랫폼전략실 분석서비스구축팀 「비정형 통계정보 제공 및 산업재산통계시스템 운영」</t>
  </si>
  <si>
    <t>판단</t>
  </si>
  <si>
    <t>홈페이지 주요사업 메뉴에 없어 대외 인지 대상 아님 → 게임 제외 유지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</si>
</sst>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16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  <charset val="1"/>
    </font>
    <font>
      <sz val="10"/>
      <name val="Arial"/>
      <charset val="1"/>
    </font>
    <font>
      <sz val="10"/>
      <name val="Noto Sans CJK SC"/>
      <family val="2"/>
      <charset val="1"/>
    </font>
    <font>
      <sz val="10"/>
      <name val="Noto Sans CJK SC"/>
      <family val="2"/>
    </font>
    <font>
      <sz val="11"/>
      <color theme="1"/>
      <name val="Noto Sans CJK SC"/>
      <family val="2"/>
      <charset val="1"/>
    </font>
    <font>
      <b/>
      <sz val="10"/>
      <name val="Noto Sans CJK SC"/>
      <family val="2"/>
      <charset val="1"/>
    </font>
    <font>
      <b/>
      <sz val="14"/>
      <name val="Noto Sans CJK SC"/>
      <family val="2"/>
      <charset val="1"/>
    </font>
    <font>
      <b/>
      <sz val="11"/>
      <color rgb="FF1B4F9C"/>
      <name val="Noto Sans CJK SC"/>
      <family val="2"/>
      <charset val="1"/>
    </font>
    <font>
      <b/>
      <sz val="10"/>
      <color rgb="FF1B4F9C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Arial"/>
      <charset val="1"/>
    </font>
    <font>
      <b/>
      <sz val="10"/>
      <color rgb="FF1B4F9C"/>
      <name val="Arial"/>
      <charset val="1"/>
    </font>
    <font>
      <b/>
      <sz val="10"/>
      <color rgb="FF1B4F9C"/>
      <name val="Noto Sans CJK SC"/>
      <family val="2"/>
    </font>
    <font>
      <sz val="10"/>
      <color rgb="FF000000"/>
      <name val="Noto Sans CJK SC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B4F9C"/>
        <bgColor rgb="FF0066CC"/>
      </patternFill>
    </fill>
    <fill>
      <patternFill patternType="solid">
        <fgColor rgb="FFEAF1FA"/>
        <bgColor rgb="FFFFFFFF"/>
      </patternFill>
    </fill>
    <fill>
      <patternFill patternType="solid">
        <fgColor rgb="FFFFF2CC"/>
        <bgColor rgb="FFEAF1FA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0" xfId="0" applyFont="1" applyFill="1" applyAlignment="1"/>
    <xf numFmtId="0" fontId="2" fillId="0" borderId="1" xfId="0" applyFont="1" applyBorder="1" applyAlignment="1">
      <alignment vertical="center"/>
    </xf>
    <xf numFmtId="0" fontId="6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9" fillId="0" borderId="0" xfId="0" applyFont="1" applyAlignment="1"/>
    <xf numFmtId="0" fontId="2" fillId="0" borderId="0" xfId="0" applyFont="1" applyAlignment="1">
      <alignment vertical="top" wrapText="1"/>
    </xf>
    <xf numFmtId="0" fontId="10" fillId="0" borderId="0" xfId="0" applyFont="1" applyAlignment="1"/>
    <xf numFmtId="0" fontId="3" fillId="0" borderId="0" xfId="0" applyFont="1" applyAlignment="1">
      <alignment vertical="top" wrapText="1"/>
    </xf>
    <xf numFmtId="0" fontId="11" fillId="0" borderId="0" xfId="0" applyFont="1" applyAlignment="1"/>
    <xf numFmtId="0" fontId="12" fillId="0" borderId="0" xfId="0" applyFont="1" applyAlignment="1"/>
    <xf numFmtId="0" fontId="12" fillId="0" borderId="0" xfId="0" applyFont="1"/>
    <xf numFmtId="0" fontId="14" fillId="0" borderId="0" xfId="0" applyFont="1"/>
    <xf numFmtId="0" fontId="4" fillId="0" borderId="0" xfId="0" applyFont="1" applyAlignment="1">
      <alignment vertical="top" wrapText="1"/>
    </xf>
    <xf numFmtId="0" fontId="11" fillId="0" borderId="0" xfId="0" applyFont="1"/>
    <xf numFmtId="0" fontId="1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1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B4F9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zoomScaleNormal="100" workbookViewId="0">
      <pane xSplit="1" ySplit="1" topLeftCell="B185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9" style="1" customWidth="1"/>
    <col min="2" max="2" width="42" style="1" customWidth="1"/>
    <col min="3" max="3" width="26" style="1" customWidth="1"/>
    <col min="4" max="6" width="30" style="1" customWidth="1"/>
    <col min="7" max="7" width="24" style="1" customWidth="1"/>
    <col min="8" max="8" width="44" style="1" customWidth="1"/>
    <col min="9" max="9" width="8" style="1" customWidth="1"/>
    <col min="10" max="10" width="24" style="1" customWidth="1"/>
    <col min="11" max="11" width="52" style="1" customWidth="1"/>
    <col min="12" max="12" width="11" style="1" customWidth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4.5" customHeight="1">
      <c r="A2" s="3" t="s">
        <v>12</v>
      </c>
      <c r="B2" s="4" t="s">
        <v>13</v>
      </c>
      <c r="C2" s="5" t="s">
        <v>14</v>
      </c>
      <c r="D2" s="6" t="str">
        <f>IFERROR(INDEX(분류체계!$D$2:$D$16,MATCH($C2,분류체계!$A$2:$A$16,0)),"")</f>
        <v>분석플랫폼지원단 · 데이터관리실</v>
      </c>
      <c r="E2" s="5" t="s">
        <v>15</v>
      </c>
      <c r="F2" s="5" t="s">
        <v>16</v>
      </c>
      <c r="G2" s="5"/>
      <c r="H2" s="4" t="s">
        <v>17</v>
      </c>
      <c r="I2" s="3">
        <v>1</v>
      </c>
      <c r="J2" s="5" t="s">
        <v>18</v>
      </c>
      <c r="K2" s="7" t="s">
        <v>19</v>
      </c>
      <c r="L2" s="8" t="s">
        <v>20</v>
      </c>
    </row>
    <row r="3" spans="1:12" ht="34.5" customHeight="1">
      <c r="A3" s="3" t="s">
        <v>21</v>
      </c>
      <c r="B3" s="4" t="s">
        <v>22</v>
      </c>
      <c r="C3" s="5" t="s">
        <v>14</v>
      </c>
      <c r="D3" s="6" t="str">
        <f>IFERROR(INDEX(분류체계!$D$2:$D$16,MATCH($C3,분류체계!$A$2:$A$16,0)),"")</f>
        <v>분석플랫폼지원단 · 데이터관리실</v>
      </c>
      <c r="E3" s="5" t="s">
        <v>23</v>
      </c>
      <c r="F3" s="5" t="s">
        <v>24</v>
      </c>
      <c r="G3" s="5"/>
      <c r="H3" s="7" t="s">
        <v>25</v>
      </c>
      <c r="I3" s="3">
        <v>1</v>
      </c>
      <c r="J3" s="5" t="s">
        <v>18</v>
      </c>
      <c r="K3" s="7" t="s">
        <v>19</v>
      </c>
      <c r="L3" s="8" t="s">
        <v>20</v>
      </c>
    </row>
    <row r="4" spans="1:12" ht="34.5" customHeight="1">
      <c r="A4" s="3" t="s">
        <v>26</v>
      </c>
      <c r="B4" s="4" t="s">
        <v>27</v>
      </c>
      <c r="C4" s="5" t="s">
        <v>14</v>
      </c>
      <c r="D4" s="6" t="str">
        <f>IFERROR(INDEX(분류체계!$D$2:$D$16,MATCH($C4,분류체계!$A$2:$A$16,0)),"")</f>
        <v>분석플랫폼지원단 · 데이터관리실</v>
      </c>
      <c r="E4" s="5" t="s">
        <v>24</v>
      </c>
      <c r="F4" s="5" t="s">
        <v>28</v>
      </c>
      <c r="G4" s="5"/>
      <c r="H4" s="4" t="s">
        <v>29</v>
      </c>
      <c r="I4" s="3">
        <v>2</v>
      </c>
      <c r="J4" s="5" t="s">
        <v>18</v>
      </c>
      <c r="K4" s="7" t="s">
        <v>19</v>
      </c>
      <c r="L4" s="8" t="s">
        <v>20</v>
      </c>
    </row>
    <row r="5" spans="1:12" ht="34.5" customHeight="1">
      <c r="A5" s="3" t="s">
        <v>30</v>
      </c>
      <c r="B5" s="4" t="s">
        <v>31</v>
      </c>
      <c r="C5" s="5" t="s">
        <v>14</v>
      </c>
      <c r="D5" s="6" t="str">
        <f>IFERROR(INDEX(분류체계!$D$2:$D$16,MATCH($C5,분류체계!$A$2:$A$16,0)),"")</f>
        <v>분석플랫폼지원단 · 데이터관리실</v>
      </c>
      <c r="E5" s="5" t="s">
        <v>24</v>
      </c>
      <c r="F5" s="5" t="s">
        <v>16</v>
      </c>
      <c r="G5" s="5"/>
      <c r="H5" s="4" t="s">
        <v>32</v>
      </c>
      <c r="I5" s="3">
        <v>2</v>
      </c>
      <c r="J5" s="5" t="s">
        <v>18</v>
      </c>
      <c r="K5" s="7" t="s">
        <v>19</v>
      </c>
      <c r="L5" s="8" t="s">
        <v>20</v>
      </c>
    </row>
    <row r="6" spans="1:12" ht="34.5" customHeight="1">
      <c r="A6" s="3" t="s">
        <v>33</v>
      </c>
      <c r="B6" s="4" t="s">
        <v>34</v>
      </c>
      <c r="C6" s="5" t="s">
        <v>14</v>
      </c>
      <c r="D6" s="6" t="str">
        <f>IFERROR(INDEX(분류체계!$D$2:$D$16,MATCH($C6,분류체계!$A$2:$A$16,0)),"")</f>
        <v>분석플랫폼지원단 · 데이터관리실</v>
      </c>
      <c r="E6" s="5" t="s">
        <v>16</v>
      </c>
      <c r="F6" s="5" t="s">
        <v>15</v>
      </c>
      <c r="G6" s="5"/>
      <c r="H6" s="4" t="s">
        <v>35</v>
      </c>
      <c r="I6" s="3">
        <v>2</v>
      </c>
      <c r="J6" s="5" t="s">
        <v>18</v>
      </c>
      <c r="K6" s="7" t="s">
        <v>19</v>
      </c>
      <c r="L6" s="8" t="s">
        <v>20</v>
      </c>
    </row>
    <row r="7" spans="1:12" ht="34.5" customHeight="1">
      <c r="A7" s="3" t="s">
        <v>36</v>
      </c>
      <c r="B7" s="7" t="s">
        <v>37</v>
      </c>
      <c r="C7" s="5" t="s">
        <v>14</v>
      </c>
      <c r="D7" s="6" t="str">
        <f>IFERROR(INDEX(분류체계!$D$2:$D$16,MATCH($C7,분류체계!$A$2:$A$16,0)),"")</f>
        <v>분석플랫폼지원단 · 데이터관리실</v>
      </c>
      <c r="E7" s="5" t="s">
        <v>15</v>
      </c>
      <c r="F7" s="5" t="s">
        <v>38</v>
      </c>
      <c r="G7" s="5" t="s">
        <v>16</v>
      </c>
      <c r="H7" s="4" t="s">
        <v>39</v>
      </c>
      <c r="I7" s="3">
        <v>3</v>
      </c>
      <c r="J7" s="5" t="s">
        <v>18</v>
      </c>
      <c r="K7" s="7" t="s">
        <v>19</v>
      </c>
      <c r="L7" s="8" t="s">
        <v>20</v>
      </c>
    </row>
    <row r="8" spans="1:12" ht="34.5" customHeight="1">
      <c r="A8" s="3" t="s">
        <v>40</v>
      </c>
      <c r="B8" s="4" t="s">
        <v>41</v>
      </c>
      <c r="C8" s="5" t="s">
        <v>14</v>
      </c>
      <c r="D8" s="6" t="str">
        <f>IFERROR(INDEX(분류체계!$D$2:$D$16,MATCH($C8,분류체계!$A$2:$A$16,0)),"")</f>
        <v>분석플랫폼지원단 · 데이터관리실</v>
      </c>
      <c r="E8" s="5" t="s">
        <v>16</v>
      </c>
      <c r="F8" s="5" t="s">
        <v>23</v>
      </c>
      <c r="G8" s="5" t="s">
        <v>42</v>
      </c>
      <c r="H8" s="4" t="s">
        <v>43</v>
      </c>
      <c r="I8" s="3">
        <v>3</v>
      </c>
      <c r="J8" s="5" t="s">
        <v>18</v>
      </c>
      <c r="K8" s="7" t="s">
        <v>19</v>
      </c>
      <c r="L8" s="8" t="s">
        <v>20</v>
      </c>
    </row>
    <row r="9" spans="1:12" ht="34.5" customHeight="1">
      <c r="A9" s="3" t="s">
        <v>44</v>
      </c>
      <c r="B9" s="4" t="s">
        <v>45</v>
      </c>
      <c r="C9" s="5" t="s">
        <v>14</v>
      </c>
      <c r="D9" s="6" t="str">
        <f>IFERROR(INDEX(분류체계!$D$2:$D$16,MATCH($C9,분류체계!$A$2:$A$16,0)),"")</f>
        <v>분석플랫폼지원단 · 데이터관리실</v>
      </c>
      <c r="E9" s="5" t="s">
        <v>28</v>
      </c>
      <c r="F9" s="5" t="s">
        <v>24</v>
      </c>
      <c r="G9" s="5"/>
      <c r="H9" s="4" t="s">
        <v>46</v>
      </c>
      <c r="I9" s="3">
        <v>3</v>
      </c>
      <c r="J9" s="5" t="s">
        <v>18</v>
      </c>
      <c r="K9" s="7" t="s">
        <v>19</v>
      </c>
      <c r="L9" s="8" t="s">
        <v>20</v>
      </c>
    </row>
    <row r="10" spans="1:12" ht="34.5" customHeight="1">
      <c r="A10" s="3" t="s">
        <v>47</v>
      </c>
      <c r="B10" s="4" t="s">
        <v>48</v>
      </c>
      <c r="C10" s="5" t="s">
        <v>15</v>
      </c>
      <c r="D10" s="6" t="str">
        <f>IFERROR(INDEX(분류체계!$D$2:$D$16,MATCH($C10,분류체계!$A$2:$A$16,0)),"")</f>
        <v>정보활용본부 · IP정보확산실</v>
      </c>
      <c r="E10" s="5" t="s">
        <v>24</v>
      </c>
      <c r="F10" s="5" t="s">
        <v>49</v>
      </c>
      <c r="G10" s="5"/>
      <c r="H10" s="7" t="s">
        <v>50</v>
      </c>
      <c r="I10" s="3">
        <v>1</v>
      </c>
      <c r="J10" s="5" t="s">
        <v>18</v>
      </c>
      <c r="K10" s="7" t="s">
        <v>51</v>
      </c>
      <c r="L10" s="8" t="s">
        <v>20</v>
      </c>
    </row>
    <row r="11" spans="1:12" ht="34.5" customHeight="1">
      <c r="A11" s="3" t="s">
        <v>52</v>
      </c>
      <c r="B11" s="4" t="s">
        <v>53</v>
      </c>
      <c r="C11" s="5" t="s">
        <v>15</v>
      </c>
      <c r="D11" s="6" t="str">
        <f>IFERROR(INDEX(분류체계!$D$2:$D$16,MATCH($C11,분류체계!$A$2:$A$16,0)),"")</f>
        <v>정보활용본부 · IP정보확산실</v>
      </c>
      <c r="E11" s="5" t="s">
        <v>49</v>
      </c>
      <c r="F11" s="5" t="s">
        <v>54</v>
      </c>
      <c r="G11" s="5"/>
      <c r="H11" s="4" t="s">
        <v>55</v>
      </c>
      <c r="I11" s="3">
        <v>1</v>
      </c>
      <c r="J11" s="5" t="s">
        <v>18</v>
      </c>
      <c r="K11" s="7" t="s">
        <v>51</v>
      </c>
      <c r="L11" s="8" t="s">
        <v>20</v>
      </c>
    </row>
    <row r="12" spans="1:12" ht="34.5" customHeight="1">
      <c r="A12" s="3" t="s">
        <v>56</v>
      </c>
      <c r="B12" s="4" t="s">
        <v>57</v>
      </c>
      <c r="C12" s="5" t="s">
        <v>15</v>
      </c>
      <c r="D12" s="6" t="str">
        <f>IFERROR(INDEX(분류체계!$D$2:$D$16,MATCH($C12,분류체계!$A$2:$A$16,0)),"")</f>
        <v>정보활용본부 · IP정보확산실</v>
      </c>
      <c r="E12" s="5" t="s">
        <v>24</v>
      </c>
      <c r="F12" s="5" t="s">
        <v>28</v>
      </c>
      <c r="G12" s="5"/>
      <c r="H12" s="4" t="s">
        <v>58</v>
      </c>
      <c r="I12" s="3">
        <v>2</v>
      </c>
      <c r="J12" s="5" t="s">
        <v>18</v>
      </c>
      <c r="K12" s="7" t="s">
        <v>51</v>
      </c>
      <c r="L12" s="8" t="s">
        <v>20</v>
      </c>
    </row>
    <row r="13" spans="1:12" ht="34.5" customHeight="1">
      <c r="A13" s="3" t="s">
        <v>59</v>
      </c>
      <c r="B13" s="4" t="s">
        <v>60</v>
      </c>
      <c r="C13" s="5" t="s">
        <v>15</v>
      </c>
      <c r="D13" s="6" t="str">
        <f>IFERROR(INDEX(분류체계!$D$2:$D$16,MATCH($C13,분류체계!$A$2:$A$16,0)),"")</f>
        <v>정보활용본부 · IP정보확산실</v>
      </c>
      <c r="E13" s="5" t="s">
        <v>16</v>
      </c>
      <c r="F13" s="5" t="s">
        <v>14</v>
      </c>
      <c r="G13" s="5"/>
      <c r="H13" s="7" t="s">
        <v>61</v>
      </c>
      <c r="I13" s="3">
        <v>2</v>
      </c>
      <c r="J13" s="5" t="s">
        <v>18</v>
      </c>
      <c r="K13" s="7" t="s">
        <v>51</v>
      </c>
      <c r="L13" s="8" t="s">
        <v>20</v>
      </c>
    </row>
    <row r="14" spans="1:12" ht="34.5" customHeight="1">
      <c r="A14" s="3" t="s">
        <v>62</v>
      </c>
      <c r="B14" s="4" t="s">
        <v>63</v>
      </c>
      <c r="C14" s="5" t="s">
        <v>15</v>
      </c>
      <c r="D14" s="6" t="str">
        <f>IFERROR(INDEX(분류체계!$D$2:$D$16,MATCH($C14,분류체계!$A$2:$A$16,0)),"")</f>
        <v>정보활용본부 · IP정보확산실</v>
      </c>
      <c r="E14" s="5" t="s">
        <v>24</v>
      </c>
      <c r="F14" s="5" t="s">
        <v>38</v>
      </c>
      <c r="G14" s="5"/>
      <c r="H14" s="7" t="s">
        <v>64</v>
      </c>
      <c r="I14" s="3">
        <v>3</v>
      </c>
      <c r="J14" s="5" t="s">
        <v>18</v>
      </c>
      <c r="K14" s="7" t="s">
        <v>51</v>
      </c>
      <c r="L14" s="8" t="s">
        <v>20</v>
      </c>
    </row>
    <row r="15" spans="1:12" ht="34.5" customHeight="1">
      <c r="A15" s="3" t="s">
        <v>65</v>
      </c>
      <c r="B15" s="4" t="s">
        <v>66</v>
      </c>
      <c r="C15" s="5" t="s">
        <v>15</v>
      </c>
      <c r="D15" s="6" t="str">
        <f>IFERROR(INDEX(분류체계!$D$2:$D$16,MATCH($C15,분류체계!$A$2:$A$16,0)),"")</f>
        <v>정보활용본부 · IP정보확산실</v>
      </c>
      <c r="E15" s="5" t="s">
        <v>38</v>
      </c>
      <c r="F15" s="5" t="s">
        <v>14</v>
      </c>
      <c r="G15" s="5"/>
      <c r="H15" s="4" t="s">
        <v>67</v>
      </c>
      <c r="I15" s="3">
        <v>2</v>
      </c>
      <c r="J15" s="5" t="s">
        <v>18</v>
      </c>
      <c r="K15" s="7" t="s">
        <v>51</v>
      </c>
      <c r="L15" s="8" t="s">
        <v>20</v>
      </c>
    </row>
    <row r="16" spans="1:12" ht="34.5" customHeight="1">
      <c r="A16" s="3" t="s">
        <v>68</v>
      </c>
      <c r="B16" s="4" t="s">
        <v>69</v>
      </c>
      <c r="C16" s="5" t="s">
        <v>15</v>
      </c>
      <c r="D16" s="6" t="str">
        <f>IFERROR(INDEX(분류체계!$D$2:$D$16,MATCH($C16,분류체계!$A$2:$A$16,0)),"")</f>
        <v>정보활용본부 · IP정보확산실</v>
      </c>
      <c r="E16" s="5" t="s">
        <v>14</v>
      </c>
      <c r="F16" s="5" t="s">
        <v>49</v>
      </c>
      <c r="G16" s="5"/>
      <c r="H16" s="7" t="s">
        <v>70</v>
      </c>
      <c r="I16" s="3">
        <v>1</v>
      </c>
      <c r="J16" s="5" t="s">
        <v>18</v>
      </c>
      <c r="K16" s="7" t="s">
        <v>51</v>
      </c>
      <c r="L16" s="8" t="s">
        <v>20</v>
      </c>
    </row>
    <row r="17" spans="1:12" ht="34.5" customHeight="1">
      <c r="A17" s="3" t="s">
        <v>71</v>
      </c>
      <c r="B17" s="4" t="s">
        <v>72</v>
      </c>
      <c r="C17" s="5" t="s">
        <v>15</v>
      </c>
      <c r="D17" s="6" t="str">
        <f>IFERROR(INDEX(분류체계!$D$2:$D$16,MATCH($C17,분류체계!$A$2:$A$16,0)),"")</f>
        <v>정보활용본부 · IP정보확산실</v>
      </c>
      <c r="E17" s="5" t="s">
        <v>49</v>
      </c>
      <c r="F17" s="5" t="s">
        <v>54</v>
      </c>
      <c r="G17" s="5"/>
      <c r="H17" s="4" t="s">
        <v>73</v>
      </c>
      <c r="I17" s="3">
        <v>2</v>
      </c>
      <c r="J17" s="5" t="s">
        <v>18</v>
      </c>
      <c r="K17" s="7" t="s">
        <v>51</v>
      </c>
      <c r="L17" s="8" t="s">
        <v>20</v>
      </c>
    </row>
    <row r="18" spans="1:12" ht="43.5" customHeight="1">
      <c r="A18" s="9" t="s">
        <v>74</v>
      </c>
      <c r="B18" s="10" t="s">
        <v>75</v>
      </c>
      <c r="C18" s="11" t="s">
        <v>15</v>
      </c>
      <c r="D18" s="6" t="str">
        <f>IFERROR(INDEX(분류체계!$D$2:$D$16,MATCH($C18,분류체계!$A$2:$A$16,0)),"")</f>
        <v>정보활용본부 · IP정보확산실</v>
      </c>
      <c r="E18" s="11" t="s">
        <v>14</v>
      </c>
      <c r="F18" s="11" t="s">
        <v>28</v>
      </c>
      <c r="G18" s="11"/>
      <c r="H18" s="10" t="s">
        <v>76</v>
      </c>
      <c r="I18" s="9">
        <v>2</v>
      </c>
      <c r="J18" s="11" t="s">
        <v>18</v>
      </c>
      <c r="K18" s="10" t="s">
        <v>77</v>
      </c>
      <c r="L18" s="12" t="s">
        <v>78</v>
      </c>
    </row>
    <row r="19" spans="1:12" ht="34.5" customHeight="1">
      <c r="A19" s="3" t="s">
        <v>79</v>
      </c>
      <c r="B19" s="4" t="s">
        <v>80</v>
      </c>
      <c r="C19" s="5" t="s">
        <v>15</v>
      </c>
      <c r="D19" s="6" t="str">
        <f>IFERROR(INDEX(분류체계!$D$2:$D$16,MATCH($C19,분류체계!$A$2:$A$16,0)),"")</f>
        <v>정보활용본부 · IP정보확산실</v>
      </c>
      <c r="E19" s="13" t="s">
        <v>81</v>
      </c>
      <c r="F19" s="5" t="s">
        <v>16</v>
      </c>
      <c r="G19" s="13"/>
      <c r="H19" s="4" t="s">
        <v>82</v>
      </c>
      <c r="I19" s="3">
        <v>1</v>
      </c>
      <c r="J19" s="5" t="s">
        <v>18</v>
      </c>
      <c r="K19" s="7" t="s">
        <v>51</v>
      </c>
      <c r="L19" s="8" t="s">
        <v>20</v>
      </c>
    </row>
    <row r="20" spans="1:12" ht="34.5" customHeight="1">
      <c r="A20" s="3" t="s">
        <v>83</v>
      </c>
      <c r="B20" s="4" t="s">
        <v>84</v>
      </c>
      <c r="C20" s="5" t="s">
        <v>85</v>
      </c>
      <c r="D20" s="6" t="str">
        <f>IFERROR(INDEX(분류체계!$D$2:$D$16,MATCH($C20,분류체계!$A$2:$A$16,0)),"")</f>
        <v>지능정보화센터 · 지능정보데이터실</v>
      </c>
      <c r="E20" s="5" t="s">
        <v>16</v>
      </c>
      <c r="F20" s="5" t="s">
        <v>49</v>
      </c>
      <c r="G20" s="13"/>
      <c r="H20" s="4" t="s">
        <v>86</v>
      </c>
      <c r="I20" s="3">
        <v>1</v>
      </c>
      <c r="J20" s="5" t="s">
        <v>18</v>
      </c>
      <c r="K20" s="7" t="s">
        <v>87</v>
      </c>
      <c r="L20" s="8" t="s">
        <v>20</v>
      </c>
    </row>
    <row r="21" spans="1:12" ht="34.5" customHeight="1">
      <c r="A21" s="3" t="s">
        <v>88</v>
      </c>
      <c r="B21" s="4" t="s">
        <v>89</v>
      </c>
      <c r="C21" s="5" t="s">
        <v>85</v>
      </c>
      <c r="D21" s="6" t="str">
        <f>IFERROR(INDEX(분류체계!$D$2:$D$16,MATCH($C21,분류체계!$A$2:$A$16,0)),"")</f>
        <v>지능정보화센터 · 지능정보데이터실</v>
      </c>
      <c r="E21" s="5" t="s">
        <v>16</v>
      </c>
      <c r="F21" s="5" t="s">
        <v>14</v>
      </c>
      <c r="G21" s="13"/>
      <c r="H21" s="4" t="s">
        <v>90</v>
      </c>
      <c r="I21" s="3">
        <v>1</v>
      </c>
      <c r="J21" s="5" t="s">
        <v>18</v>
      </c>
      <c r="K21" s="7" t="s">
        <v>87</v>
      </c>
      <c r="L21" s="8" t="s">
        <v>20</v>
      </c>
    </row>
    <row r="22" spans="1:12" ht="34.5" customHeight="1">
      <c r="A22" s="3" t="s">
        <v>91</v>
      </c>
      <c r="B22" s="4" t="s">
        <v>92</v>
      </c>
      <c r="C22" s="5" t="s">
        <v>85</v>
      </c>
      <c r="D22" s="6" t="str">
        <f>IFERROR(INDEX(분류체계!$D$2:$D$16,MATCH($C22,분류체계!$A$2:$A$16,0)),"")</f>
        <v>지능정보화센터 · 지능정보데이터실</v>
      </c>
      <c r="E22" s="5" t="s">
        <v>14</v>
      </c>
      <c r="F22" s="5" t="s">
        <v>15</v>
      </c>
      <c r="G22" s="13"/>
      <c r="H22" s="4" t="s">
        <v>93</v>
      </c>
      <c r="I22" s="3">
        <v>2</v>
      </c>
      <c r="J22" s="5" t="s">
        <v>18</v>
      </c>
      <c r="K22" s="7" t="s">
        <v>87</v>
      </c>
      <c r="L22" s="8" t="s">
        <v>20</v>
      </c>
    </row>
    <row r="23" spans="1:12" ht="34.5" customHeight="1">
      <c r="A23" s="3" t="s">
        <v>94</v>
      </c>
      <c r="B23" s="4" t="s">
        <v>95</v>
      </c>
      <c r="C23" s="5" t="s">
        <v>85</v>
      </c>
      <c r="D23" s="6" t="str">
        <f>IFERROR(INDEX(분류체계!$D$2:$D$16,MATCH($C23,분류체계!$A$2:$A$16,0)),"")</f>
        <v>지능정보화센터 · 지능정보데이터실</v>
      </c>
      <c r="E23" s="5" t="s">
        <v>49</v>
      </c>
      <c r="F23" s="5" t="s">
        <v>54</v>
      </c>
      <c r="G23" s="13"/>
      <c r="H23" s="4" t="s">
        <v>96</v>
      </c>
      <c r="I23" s="3">
        <v>3</v>
      </c>
      <c r="J23" s="5" t="s">
        <v>18</v>
      </c>
      <c r="K23" s="7" t="s">
        <v>87</v>
      </c>
      <c r="L23" s="8" t="s">
        <v>20</v>
      </c>
    </row>
    <row r="24" spans="1:12" ht="34.5" customHeight="1">
      <c r="A24" s="3" t="s">
        <v>97</v>
      </c>
      <c r="B24" s="4" t="s">
        <v>98</v>
      </c>
      <c r="C24" s="5" t="s">
        <v>85</v>
      </c>
      <c r="D24" s="6" t="str">
        <f>IFERROR(INDEX(분류체계!$D$2:$D$16,MATCH($C24,분류체계!$A$2:$A$16,0)),"")</f>
        <v>지능정보화센터 · 지능정보데이터실</v>
      </c>
      <c r="E24" s="5" t="s">
        <v>16</v>
      </c>
      <c r="F24" s="5" t="s">
        <v>14</v>
      </c>
      <c r="G24" s="13"/>
      <c r="H24" s="4" t="s">
        <v>99</v>
      </c>
      <c r="I24" s="3">
        <v>2</v>
      </c>
      <c r="J24" s="5" t="s">
        <v>18</v>
      </c>
      <c r="K24" s="7" t="s">
        <v>87</v>
      </c>
      <c r="L24" s="8" t="s">
        <v>20</v>
      </c>
    </row>
    <row r="25" spans="1:12" ht="34.5" customHeight="1">
      <c r="A25" s="3" t="s">
        <v>100</v>
      </c>
      <c r="B25" s="4" t="s">
        <v>101</v>
      </c>
      <c r="C25" s="5" t="s">
        <v>85</v>
      </c>
      <c r="D25" s="6" t="str">
        <f>IFERROR(INDEX(분류체계!$D$2:$D$16,MATCH($C25,분류체계!$A$2:$A$16,0)),"")</f>
        <v>지능정보화센터 · 지능정보데이터실</v>
      </c>
      <c r="E25" s="5" t="s">
        <v>49</v>
      </c>
      <c r="F25" s="5" t="s">
        <v>16</v>
      </c>
      <c r="G25" s="13"/>
      <c r="H25" s="4" t="s">
        <v>102</v>
      </c>
      <c r="I25" s="3">
        <v>2</v>
      </c>
      <c r="J25" s="5" t="s">
        <v>18</v>
      </c>
      <c r="K25" s="7" t="s">
        <v>87</v>
      </c>
      <c r="L25" s="8" t="s">
        <v>20</v>
      </c>
    </row>
    <row r="26" spans="1:12" ht="34.5" customHeight="1">
      <c r="A26" s="3" t="s">
        <v>103</v>
      </c>
      <c r="B26" s="4" t="s">
        <v>104</v>
      </c>
      <c r="C26" s="5" t="s">
        <v>85</v>
      </c>
      <c r="D26" s="6" t="str">
        <f>IFERROR(INDEX(분류체계!$D$2:$D$16,MATCH($C26,분류체계!$A$2:$A$16,0)),"")</f>
        <v>지능정보화센터 · 지능정보데이터실</v>
      </c>
      <c r="E26" s="5" t="s">
        <v>14</v>
      </c>
      <c r="F26" s="5" t="s">
        <v>16</v>
      </c>
      <c r="G26" s="13"/>
      <c r="H26" s="4" t="s">
        <v>105</v>
      </c>
      <c r="I26" s="3">
        <v>3</v>
      </c>
      <c r="J26" s="5" t="s">
        <v>18</v>
      </c>
      <c r="K26" s="7" t="s">
        <v>87</v>
      </c>
      <c r="L26" s="8" t="s">
        <v>20</v>
      </c>
    </row>
    <row r="27" spans="1:12" ht="34.5" customHeight="1">
      <c r="A27" s="3" t="s">
        <v>106</v>
      </c>
      <c r="B27" s="4" t="s">
        <v>107</v>
      </c>
      <c r="C27" s="5" t="s">
        <v>85</v>
      </c>
      <c r="D27" s="6" t="str">
        <f>IFERROR(INDEX(분류체계!$D$2:$D$16,MATCH($C27,분류체계!$A$2:$A$16,0)),"")</f>
        <v>지능정보화센터 · 지능정보데이터실</v>
      </c>
      <c r="E27" s="5" t="s">
        <v>54</v>
      </c>
      <c r="F27" s="5" t="s">
        <v>49</v>
      </c>
      <c r="G27" s="5" t="s">
        <v>15</v>
      </c>
      <c r="H27" s="4" t="s">
        <v>108</v>
      </c>
      <c r="I27" s="3">
        <v>3</v>
      </c>
      <c r="J27" s="5" t="s">
        <v>18</v>
      </c>
      <c r="K27" s="7" t="s">
        <v>87</v>
      </c>
      <c r="L27" s="8" t="s">
        <v>20</v>
      </c>
    </row>
    <row r="28" spans="1:12" ht="34.5" customHeight="1">
      <c r="A28" s="3" t="s">
        <v>109</v>
      </c>
      <c r="B28" s="4" t="s">
        <v>110</v>
      </c>
      <c r="C28" s="5" t="s">
        <v>42</v>
      </c>
      <c r="D28" s="6" t="str">
        <f>IFERROR(INDEX(분류체계!$D$2:$D$16,MATCH($C28,분류체계!$A$2:$A$16,0)),"")</f>
        <v>정보활용본부 · IP정보가공실</v>
      </c>
      <c r="E28" s="5" t="s">
        <v>111</v>
      </c>
      <c r="F28" s="5" t="s">
        <v>15</v>
      </c>
      <c r="G28" s="13"/>
      <c r="H28" s="7" t="s">
        <v>112</v>
      </c>
      <c r="I28" s="3">
        <v>1</v>
      </c>
      <c r="J28" s="5" t="s">
        <v>18</v>
      </c>
      <c r="K28" s="7" t="s">
        <v>113</v>
      </c>
      <c r="L28" s="8" t="s">
        <v>20</v>
      </c>
    </row>
    <row r="29" spans="1:12" ht="34.5" customHeight="1">
      <c r="A29" s="3" t="s">
        <v>114</v>
      </c>
      <c r="B29" s="4" t="s">
        <v>115</v>
      </c>
      <c r="C29" s="5" t="s">
        <v>42</v>
      </c>
      <c r="D29" s="6" t="str">
        <f>IFERROR(INDEX(분류체계!$D$2:$D$16,MATCH($C29,분류체계!$A$2:$A$16,0)),"")</f>
        <v>정보활용본부 · IP정보가공실</v>
      </c>
      <c r="E29" s="5" t="s">
        <v>23</v>
      </c>
      <c r="F29" s="5" t="s">
        <v>111</v>
      </c>
      <c r="G29" s="13"/>
      <c r="H29" s="4" t="s">
        <v>116</v>
      </c>
      <c r="I29" s="3">
        <v>2</v>
      </c>
      <c r="J29" s="5" t="s">
        <v>18</v>
      </c>
      <c r="K29" s="7" t="s">
        <v>113</v>
      </c>
      <c r="L29" s="8" t="s">
        <v>20</v>
      </c>
    </row>
    <row r="30" spans="1:12" ht="34.5" customHeight="1">
      <c r="A30" s="3" t="s">
        <v>117</v>
      </c>
      <c r="B30" s="4" t="s">
        <v>118</v>
      </c>
      <c r="C30" s="5" t="s">
        <v>42</v>
      </c>
      <c r="D30" s="6" t="str">
        <f>IFERROR(INDEX(분류체계!$D$2:$D$16,MATCH($C30,분류체계!$A$2:$A$16,0)),"")</f>
        <v>정보활용본부 · IP정보가공실</v>
      </c>
      <c r="E30" s="5" t="s">
        <v>111</v>
      </c>
      <c r="F30" s="5" t="s">
        <v>24</v>
      </c>
      <c r="G30" s="13"/>
      <c r="H30" s="7" t="s">
        <v>119</v>
      </c>
      <c r="I30" s="3">
        <v>2</v>
      </c>
      <c r="J30" s="5" t="s">
        <v>18</v>
      </c>
      <c r="K30" s="7" t="s">
        <v>113</v>
      </c>
      <c r="L30" s="8" t="s">
        <v>20</v>
      </c>
    </row>
    <row r="31" spans="1:12" ht="34.5" customHeight="1">
      <c r="A31" s="3" t="s">
        <v>120</v>
      </c>
      <c r="B31" s="4" t="s">
        <v>121</v>
      </c>
      <c r="C31" s="5" t="s">
        <v>42</v>
      </c>
      <c r="D31" s="6" t="str">
        <f>IFERROR(INDEX(분류체계!$D$2:$D$16,MATCH($C31,분류체계!$A$2:$A$16,0)),"")</f>
        <v>정보활용본부 · IP정보가공실</v>
      </c>
      <c r="E31" s="5" t="s">
        <v>85</v>
      </c>
      <c r="F31" s="5" t="s">
        <v>111</v>
      </c>
      <c r="G31" s="5" t="s">
        <v>14</v>
      </c>
      <c r="H31" s="4" t="s">
        <v>122</v>
      </c>
      <c r="I31" s="3">
        <v>3</v>
      </c>
      <c r="J31" s="5" t="s">
        <v>18</v>
      </c>
      <c r="K31" s="7" t="s">
        <v>113</v>
      </c>
      <c r="L31" s="8" t="s">
        <v>20</v>
      </c>
    </row>
    <row r="32" spans="1:12" ht="34.5" customHeight="1">
      <c r="A32" s="3" t="s">
        <v>123</v>
      </c>
      <c r="B32" s="4" t="s">
        <v>124</v>
      </c>
      <c r="C32" s="5" t="s">
        <v>42</v>
      </c>
      <c r="D32" s="6" t="str">
        <f>IFERROR(INDEX(분류체계!$D$2:$D$16,MATCH($C32,분류체계!$A$2:$A$16,0)),"")</f>
        <v>정보활용본부 · IP정보가공실</v>
      </c>
      <c r="E32" s="5" t="s">
        <v>111</v>
      </c>
      <c r="F32" s="5" t="s">
        <v>23</v>
      </c>
      <c r="G32" s="13"/>
      <c r="H32" s="7" t="s">
        <v>125</v>
      </c>
      <c r="I32" s="3">
        <v>2</v>
      </c>
      <c r="J32" s="5" t="s">
        <v>18</v>
      </c>
      <c r="K32" s="7" t="s">
        <v>113</v>
      </c>
      <c r="L32" s="8" t="s">
        <v>20</v>
      </c>
    </row>
    <row r="33" spans="1:12" ht="34.5" customHeight="1">
      <c r="A33" s="3" t="s">
        <v>126</v>
      </c>
      <c r="B33" s="4" t="s">
        <v>127</v>
      </c>
      <c r="C33" s="5" t="s">
        <v>42</v>
      </c>
      <c r="D33" s="6" t="str">
        <f>IFERROR(INDEX(분류체계!$D$2:$D$16,MATCH($C33,분류체계!$A$2:$A$16,0)),"")</f>
        <v>정보활용본부 · IP정보가공실</v>
      </c>
      <c r="E33" s="5" t="s">
        <v>14</v>
      </c>
      <c r="F33" s="5" t="s">
        <v>111</v>
      </c>
      <c r="G33" s="5" t="s">
        <v>85</v>
      </c>
      <c r="H33" s="7" t="s">
        <v>128</v>
      </c>
      <c r="I33" s="3">
        <v>3</v>
      </c>
      <c r="J33" s="5" t="s">
        <v>18</v>
      </c>
      <c r="K33" s="7" t="s">
        <v>113</v>
      </c>
      <c r="L33" s="8" t="s">
        <v>20</v>
      </c>
    </row>
    <row r="34" spans="1:12" ht="34.5" customHeight="1">
      <c r="A34" s="3" t="s">
        <v>129</v>
      </c>
      <c r="B34" s="4" t="s">
        <v>130</v>
      </c>
      <c r="C34" s="5" t="s">
        <v>111</v>
      </c>
      <c r="D34" s="6" t="str">
        <f>IFERROR(INDEX(분류체계!$D$2:$D$16,MATCH($C34,분류체계!$A$2:$A$16,0)),"")</f>
        <v>정보활용본부 · IP정보가공실</v>
      </c>
      <c r="E34" s="5" t="s">
        <v>131</v>
      </c>
      <c r="F34" s="5" t="s">
        <v>23</v>
      </c>
      <c r="G34" s="13"/>
      <c r="H34" s="7" t="s">
        <v>132</v>
      </c>
      <c r="I34" s="3">
        <v>3</v>
      </c>
      <c r="J34" s="5" t="s">
        <v>18</v>
      </c>
      <c r="K34" s="4" t="s">
        <v>133</v>
      </c>
      <c r="L34" s="8" t="s">
        <v>20</v>
      </c>
    </row>
    <row r="35" spans="1:12" ht="34.5" customHeight="1">
      <c r="A35" s="3" t="s">
        <v>134</v>
      </c>
      <c r="B35" s="4" t="s">
        <v>135</v>
      </c>
      <c r="C35" s="5" t="s">
        <v>131</v>
      </c>
      <c r="D35" s="6" t="str">
        <f>IFERROR(INDEX(분류체계!$D$2:$D$16,MATCH($C35,분류체계!$A$2:$A$16,0)),"")</f>
        <v>지능정보화센터 · 지능정보기술실</v>
      </c>
      <c r="E35" s="5" t="s">
        <v>24</v>
      </c>
      <c r="F35" s="5" t="s">
        <v>14</v>
      </c>
      <c r="G35" s="13"/>
      <c r="H35" s="7" t="s">
        <v>136</v>
      </c>
      <c r="I35" s="3">
        <v>2</v>
      </c>
      <c r="J35" s="5" t="s">
        <v>18</v>
      </c>
      <c r="K35" s="7" t="s">
        <v>137</v>
      </c>
      <c r="L35" s="8" t="s">
        <v>20</v>
      </c>
    </row>
    <row r="36" spans="1:12" ht="34.5" customHeight="1">
      <c r="A36" s="3" t="s">
        <v>138</v>
      </c>
      <c r="B36" s="4" t="s">
        <v>139</v>
      </c>
      <c r="C36" s="5" t="s">
        <v>131</v>
      </c>
      <c r="D36" s="6" t="str">
        <f>IFERROR(INDEX(분류체계!$D$2:$D$16,MATCH($C36,분류체계!$A$2:$A$16,0)),"")</f>
        <v>지능정보화센터 · 지능정보기술실</v>
      </c>
      <c r="E36" s="5" t="s">
        <v>38</v>
      </c>
      <c r="F36" s="5" t="s">
        <v>14</v>
      </c>
      <c r="G36" s="13"/>
      <c r="H36" s="4" t="s">
        <v>140</v>
      </c>
      <c r="I36" s="3">
        <v>2</v>
      </c>
      <c r="J36" s="5" t="s">
        <v>18</v>
      </c>
      <c r="K36" s="7" t="s">
        <v>137</v>
      </c>
      <c r="L36" s="8" t="s">
        <v>20</v>
      </c>
    </row>
    <row r="37" spans="1:12" ht="34.5" customHeight="1">
      <c r="A37" s="3" t="s">
        <v>141</v>
      </c>
      <c r="B37" s="7" t="s">
        <v>142</v>
      </c>
      <c r="C37" s="5" t="s">
        <v>111</v>
      </c>
      <c r="D37" s="6" t="str">
        <f>IFERROR(INDEX(분류체계!$D$2:$D$16,MATCH($C37,분류체계!$A$2:$A$16,0)),"")</f>
        <v>정보활용본부 · IP정보가공실</v>
      </c>
      <c r="E37" s="5" t="s">
        <v>42</v>
      </c>
      <c r="F37" s="5" t="s">
        <v>16</v>
      </c>
      <c r="G37" s="5" t="s">
        <v>23</v>
      </c>
      <c r="H37" s="7" t="s">
        <v>143</v>
      </c>
      <c r="I37" s="3">
        <v>3</v>
      </c>
      <c r="J37" s="5" t="s">
        <v>18</v>
      </c>
      <c r="K37" s="7" t="s">
        <v>133</v>
      </c>
      <c r="L37" s="8" t="s">
        <v>20</v>
      </c>
    </row>
    <row r="38" spans="1:12" ht="34.5" customHeight="1">
      <c r="A38" s="3" t="s">
        <v>144</v>
      </c>
      <c r="B38" s="4" t="s">
        <v>145</v>
      </c>
      <c r="C38" s="5" t="s">
        <v>131</v>
      </c>
      <c r="D38" s="6" t="str">
        <f>IFERROR(INDEX(분류체계!$D$2:$D$16,MATCH($C38,분류체계!$A$2:$A$16,0)),"")</f>
        <v>지능정보화센터 · 지능정보기술실</v>
      </c>
      <c r="E38" s="5" t="s">
        <v>42</v>
      </c>
      <c r="F38" s="5" t="s">
        <v>14</v>
      </c>
      <c r="G38" s="13"/>
      <c r="H38" s="4" t="s">
        <v>146</v>
      </c>
      <c r="I38" s="3">
        <v>2</v>
      </c>
      <c r="J38" s="5" t="s">
        <v>18</v>
      </c>
      <c r="K38" s="7" t="s">
        <v>137</v>
      </c>
      <c r="L38" s="8" t="s">
        <v>20</v>
      </c>
    </row>
    <row r="39" spans="1:12" ht="34.5" customHeight="1">
      <c r="A39" s="3" t="s">
        <v>147</v>
      </c>
      <c r="B39" s="4" t="s">
        <v>148</v>
      </c>
      <c r="C39" s="5" t="s">
        <v>111</v>
      </c>
      <c r="D39" s="6" t="str">
        <f>IFERROR(INDEX(분류체계!$D$2:$D$16,MATCH($C39,분류체계!$A$2:$A$16,0)),"")</f>
        <v>정보활용본부 · IP정보가공실</v>
      </c>
      <c r="E39" s="5" t="s">
        <v>23</v>
      </c>
      <c r="F39" s="5" t="s">
        <v>16</v>
      </c>
      <c r="G39" s="13"/>
      <c r="H39" s="4" t="s">
        <v>149</v>
      </c>
      <c r="I39" s="3">
        <v>3</v>
      </c>
      <c r="J39" s="5" t="s">
        <v>18</v>
      </c>
      <c r="K39" s="7" t="s">
        <v>133</v>
      </c>
      <c r="L39" s="8" t="s">
        <v>20</v>
      </c>
    </row>
    <row r="40" spans="1:12" ht="34.5" customHeight="1">
      <c r="A40" s="3" t="s">
        <v>150</v>
      </c>
      <c r="B40" s="4" t="s">
        <v>151</v>
      </c>
      <c r="C40" s="5" t="s">
        <v>131</v>
      </c>
      <c r="D40" s="6" t="str">
        <f>IFERROR(INDEX(분류체계!$D$2:$D$16,MATCH($C40,분류체계!$A$2:$A$16,0)),"")</f>
        <v>지능정보화센터 · 지능정보기술실</v>
      </c>
      <c r="E40" s="5" t="s">
        <v>49</v>
      </c>
      <c r="F40" s="5" t="s">
        <v>16</v>
      </c>
      <c r="G40" s="13"/>
      <c r="H40" s="4" t="s">
        <v>152</v>
      </c>
      <c r="I40" s="3">
        <v>1</v>
      </c>
      <c r="J40" s="5" t="s">
        <v>18</v>
      </c>
      <c r="K40" s="7" t="s">
        <v>137</v>
      </c>
      <c r="L40" s="8" t="s">
        <v>20</v>
      </c>
    </row>
    <row r="41" spans="1:12" ht="34.5" customHeight="1">
      <c r="A41" s="3" t="s">
        <v>153</v>
      </c>
      <c r="B41" s="4" t="s">
        <v>154</v>
      </c>
      <c r="C41" s="5" t="s">
        <v>131</v>
      </c>
      <c r="D41" s="6" t="str">
        <f>IFERROR(INDEX(분류체계!$D$2:$D$16,MATCH($C41,분류체계!$A$2:$A$16,0)),"")</f>
        <v>지능정보화센터 · 지능정보기술실</v>
      </c>
      <c r="E41" s="5" t="s">
        <v>24</v>
      </c>
      <c r="F41" s="5" t="s">
        <v>42</v>
      </c>
      <c r="G41" s="13"/>
      <c r="H41" s="4" t="s">
        <v>155</v>
      </c>
      <c r="I41" s="3">
        <v>3</v>
      </c>
      <c r="J41" s="5" t="s">
        <v>18</v>
      </c>
      <c r="K41" s="7" t="s">
        <v>137</v>
      </c>
      <c r="L41" s="8" t="s">
        <v>20</v>
      </c>
    </row>
    <row r="42" spans="1:12" ht="43.5" customHeight="1">
      <c r="A42" s="9" t="s">
        <v>156</v>
      </c>
      <c r="B42" s="10" t="s">
        <v>157</v>
      </c>
      <c r="C42" s="11" t="s">
        <v>28</v>
      </c>
      <c r="D42" s="6" t="str">
        <f>IFERROR(INDEX(분류체계!$D$2:$D$16,MATCH($C42,분류체계!$A$2:$A$16,0)),"")</f>
        <v>(확인 불가 — 게임 제외)</v>
      </c>
      <c r="E42" s="11" t="s">
        <v>14</v>
      </c>
      <c r="F42" s="11" t="s">
        <v>15</v>
      </c>
      <c r="G42" s="11"/>
      <c r="H42" s="10" t="s">
        <v>158</v>
      </c>
      <c r="I42" s="9">
        <v>1</v>
      </c>
      <c r="J42" s="11" t="s">
        <v>18</v>
      </c>
      <c r="K42" s="10" t="s">
        <v>159</v>
      </c>
      <c r="L42" s="12" t="s">
        <v>78</v>
      </c>
    </row>
    <row r="43" spans="1:12" ht="29.25" customHeight="1">
      <c r="A43" s="9" t="s">
        <v>160</v>
      </c>
      <c r="B43" s="10" t="s">
        <v>161</v>
      </c>
      <c r="C43" s="11" t="s">
        <v>28</v>
      </c>
      <c r="D43" s="6" t="str">
        <f>IFERROR(INDEX(분류체계!$D$2:$D$16,MATCH($C43,분류체계!$A$2:$A$16,0)),"")</f>
        <v>(확인 불가 — 게임 제외)</v>
      </c>
      <c r="E43" s="11" t="s">
        <v>54</v>
      </c>
      <c r="F43" s="11" t="s">
        <v>162</v>
      </c>
      <c r="G43" s="11"/>
      <c r="H43" s="10" t="s">
        <v>163</v>
      </c>
      <c r="I43" s="9">
        <v>2</v>
      </c>
      <c r="J43" s="11" t="s">
        <v>18</v>
      </c>
      <c r="K43" s="10" t="s">
        <v>164</v>
      </c>
      <c r="L43" s="12" t="s">
        <v>78</v>
      </c>
    </row>
    <row r="44" spans="1:12" ht="43.5" customHeight="1">
      <c r="A44" s="9" t="s">
        <v>165</v>
      </c>
      <c r="B44" s="10" t="s">
        <v>166</v>
      </c>
      <c r="C44" s="11" t="s">
        <v>28</v>
      </c>
      <c r="D44" s="6" t="str">
        <f>IFERROR(INDEX(분류체계!$D$2:$D$16,MATCH($C44,분류체계!$A$2:$A$16,0)),"")</f>
        <v>(확인 불가 — 게임 제외)</v>
      </c>
      <c r="E44" s="11" t="s">
        <v>54</v>
      </c>
      <c r="F44" s="11" t="s">
        <v>14</v>
      </c>
      <c r="G44" s="11"/>
      <c r="H44" s="10" t="s">
        <v>167</v>
      </c>
      <c r="I44" s="9">
        <v>2</v>
      </c>
      <c r="J44" s="11" t="s">
        <v>18</v>
      </c>
      <c r="K44" s="10" t="s">
        <v>168</v>
      </c>
      <c r="L44" s="12" t="s">
        <v>78</v>
      </c>
    </row>
    <row r="45" spans="1:12" ht="43.5" customHeight="1">
      <c r="A45" s="9" t="s">
        <v>169</v>
      </c>
      <c r="B45" s="10" t="s">
        <v>170</v>
      </c>
      <c r="C45" s="11" t="s">
        <v>28</v>
      </c>
      <c r="D45" s="6" t="str">
        <f>IFERROR(INDEX(분류체계!$D$2:$D$16,MATCH($C45,분류체계!$A$2:$A$16,0)),"")</f>
        <v>(확인 불가 — 게임 제외)</v>
      </c>
      <c r="E45" s="11" t="s">
        <v>15</v>
      </c>
      <c r="F45" s="11" t="s">
        <v>24</v>
      </c>
      <c r="G45" s="11"/>
      <c r="H45" s="10" t="s">
        <v>171</v>
      </c>
      <c r="I45" s="9">
        <v>1</v>
      </c>
      <c r="J45" s="11" t="s">
        <v>18</v>
      </c>
      <c r="K45" s="10" t="s">
        <v>172</v>
      </c>
      <c r="L45" s="12" t="s">
        <v>78</v>
      </c>
    </row>
    <row r="46" spans="1:12" ht="43.5" customHeight="1">
      <c r="A46" s="9" t="s">
        <v>173</v>
      </c>
      <c r="B46" s="10" t="s">
        <v>174</v>
      </c>
      <c r="C46" s="11" t="s">
        <v>28</v>
      </c>
      <c r="D46" s="6" t="str">
        <f>IFERROR(INDEX(분류체계!$D$2:$D$16,MATCH($C46,분류체계!$A$2:$A$16,0)),"")</f>
        <v>(확인 불가 — 게임 제외)</v>
      </c>
      <c r="E46" s="11" t="s">
        <v>14</v>
      </c>
      <c r="F46" s="11" t="s">
        <v>54</v>
      </c>
      <c r="G46" s="11"/>
      <c r="H46" s="10" t="s">
        <v>175</v>
      </c>
      <c r="I46" s="9">
        <v>2</v>
      </c>
      <c r="J46" s="11" t="s">
        <v>18</v>
      </c>
      <c r="K46" s="10" t="s">
        <v>176</v>
      </c>
      <c r="L46" s="12" t="s">
        <v>78</v>
      </c>
    </row>
    <row r="47" spans="1:12" ht="29.25" customHeight="1">
      <c r="A47" s="9" t="s">
        <v>177</v>
      </c>
      <c r="B47" s="10" t="s">
        <v>178</v>
      </c>
      <c r="C47" s="11" t="s">
        <v>28</v>
      </c>
      <c r="D47" s="6" t="str">
        <f>IFERROR(INDEX(분류체계!$D$2:$D$16,MATCH($C47,분류체계!$A$2:$A$16,0)),"")</f>
        <v>(확인 불가 — 게임 제외)</v>
      </c>
      <c r="E47" s="11" t="s">
        <v>14</v>
      </c>
      <c r="F47" s="11" t="s">
        <v>38</v>
      </c>
      <c r="G47" s="11"/>
      <c r="H47" s="10" t="s">
        <v>179</v>
      </c>
      <c r="I47" s="9">
        <v>3</v>
      </c>
      <c r="J47" s="11" t="s">
        <v>18</v>
      </c>
      <c r="K47" s="10" t="s">
        <v>180</v>
      </c>
      <c r="L47" s="12" t="s">
        <v>78</v>
      </c>
    </row>
    <row r="48" spans="1:12" ht="29.25" customHeight="1">
      <c r="A48" s="9" t="s">
        <v>181</v>
      </c>
      <c r="B48" s="10" t="s">
        <v>182</v>
      </c>
      <c r="C48" s="11" t="s">
        <v>28</v>
      </c>
      <c r="D48" s="6" t="str">
        <f>IFERROR(INDEX(분류체계!$D$2:$D$16,MATCH($C48,분류체계!$A$2:$A$16,0)),"")</f>
        <v>(확인 불가 — 게임 제외)</v>
      </c>
      <c r="E48" s="11" t="s">
        <v>14</v>
      </c>
      <c r="F48" s="11" t="s">
        <v>15</v>
      </c>
      <c r="G48" s="11"/>
      <c r="H48" s="10" t="s">
        <v>183</v>
      </c>
      <c r="I48" s="9">
        <v>3</v>
      </c>
      <c r="J48" s="11" t="s">
        <v>18</v>
      </c>
      <c r="K48" s="10" t="s">
        <v>184</v>
      </c>
      <c r="L48" s="12" t="s">
        <v>78</v>
      </c>
    </row>
    <row r="49" spans="1:12" ht="34.5" customHeight="1">
      <c r="A49" s="3" t="s">
        <v>185</v>
      </c>
      <c r="B49" s="4" t="s">
        <v>186</v>
      </c>
      <c r="C49" s="13" t="s">
        <v>81</v>
      </c>
      <c r="D49" s="6" t="str">
        <f>IFERROR(INDEX(분류체계!$D$2:$D$16,MATCH($C49,분류체계!$A$2:$A$16,0)),"")</f>
        <v>정보시스템본부 · IP시스템기반실</v>
      </c>
      <c r="E49" s="5" t="s">
        <v>16</v>
      </c>
      <c r="F49" s="5" t="s">
        <v>24</v>
      </c>
      <c r="G49" s="13"/>
      <c r="H49" s="7" t="s">
        <v>187</v>
      </c>
      <c r="I49" s="3">
        <v>1</v>
      </c>
      <c r="J49" s="5" t="s">
        <v>188</v>
      </c>
      <c r="K49" s="7" t="s">
        <v>189</v>
      </c>
      <c r="L49" s="8" t="s">
        <v>20</v>
      </c>
    </row>
    <row r="50" spans="1:12" ht="34.5" customHeight="1">
      <c r="A50" s="3" t="s">
        <v>190</v>
      </c>
      <c r="B50" s="4" t="s">
        <v>191</v>
      </c>
      <c r="C50" s="13" t="s">
        <v>81</v>
      </c>
      <c r="D50" s="6" t="str">
        <f>IFERROR(INDEX(분류체계!$D$2:$D$16,MATCH($C50,분류체계!$A$2:$A$16,0)),"")</f>
        <v>정보시스템본부 · IP시스템기반실</v>
      </c>
      <c r="E50" s="5" t="s">
        <v>16</v>
      </c>
      <c r="F50" s="5" t="s">
        <v>23</v>
      </c>
      <c r="G50" s="13"/>
      <c r="H50" s="4" t="s">
        <v>192</v>
      </c>
      <c r="I50" s="3">
        <v>2</v>
      </c>
      <c r="J50" s="5" t="s">
        <v>188</v>
      </c>
      <c r="K50" s="7" t="s">
        <v>189</v>
      </c>
      <c r="L50" s="8" t="s">
        <v>20</v>
      </c>
    </row>
    <row r="51" spans="1:12" ht="34.5" customHeight="1">
      <c r="A51" s="3" t="s">
        <v>193</v>
      </c>
      <c r="B51" s="4" t="s">
        <v>194</v>
      </c>
      <c r="C51" s="13" t="s">
        <v>81</v>
      </c>
      <c r="D51" s="6" t="str">
        <f>IFERROR(INDEX(분류체계!$D$2:$D$16,MATCH($C51,분류체계!$A$2:$A$16,0)),"")</f>
        <v>정보시스템본부 · IP시스템기반실</v>
      </c>
      <c r="E51" s="5" t="s">
        <v>16</v>
      </c>
      <c r="F51" s="5" t="s">
        <v>14</v>
      </c>
      <c r="G51" s="13"/>
      <c r="H51" s="4" t="s">
        <v>195</v>
      </c>
      <c r="I51" s="3">
        <v>2</v>
      </c>
      <c r="J51" s="5" t="s">
        <v>188</v>
      </c>
      <c r="K51" s="7" t="s">
        <v>189</v>
      </c>
      <c r="L51" s="8" t="s">
        <v>20</v>
      </c>
    </row>
    <row r="52" spans="1:12" ht="34.5" customHeight="1">
      <c r="A52" s="3" t="s">
        <v>196</v>
      </c>
      <c r="B52" s="7" t="s">
        <v>197</v>
      </c>
      <c r="C52" s="13" t="s">
        <v>81</v>
      </c>
      <c r="D52" s="6" t="str">
        <f>IFERROR(INDEX(분류체계!$D$2:$D$16,MATCH($C52,분류체계!$A$2:$A$16,0)),"")</f>
        <v>정보시스템본부 · IP시스템기반실</v>
      </c>
      <c r="E52" s="5" t="s">
        <v>24</v>
      </c>
      <c r="F52" s="5" t="s">
        <v>38</v>
      </c>
      <c r="G52" s="13"/>
      <c r="H52" s="4" t="s">
        <v>198</v>
      </c>
      <c r="I52" s="3">
        <v>2</v>
      </c>
      <c r="J52" s="5" t="s">
        <v>188</v>
      </c>
      <c r="K52" s="7" t="s">
        <v>189</v>
      </c>
      <c r="L52" s="8" t="s">
        <v>20</v>
      </c>
    </row>
    <row r="53" spans="1:12" ht="34.5" customHeight="1">
      <c r="A53" s="3" t="s">
        <v>199</v>
      </c>
      <c r="B53" s="4" t="s">
        <v>200</v>
      </c>
      <c r="C53" s="13" t="s">
        <v>81</v>
      </c>
      <c r="D53" s="6" t="str">
        <f>IFERROR(INDEX(분류체계!$D$2:$D$16,MATCH($C53,분류체계!$A$2:$A$16,0)),"")</f>
        <v>정보시스템본부 · IP시스템기반실</v>
      </c>
      <c r="E53" s="5" t="s">
        <v>16</v>
      </c>
      <c r="F53" s="5" t="s">
        <v>28</v>
      </c>
      <c r="G53" s="13"/>
      <c r="H53" s="4" t="s">
        <v>201</v>
      </c>
      <c r="I53" s="3">
        <v>3</v>
      </c>
      <c r="J53" s="5" t="s">
        <v>188</v>
      </c>
      <c r="K53" s="7" t="s">
        <v>189</v>
      </c>
      <c r="L53" s="8" t="s">
        <v>20</v>
      </c>
    </row>
    <row r="54" spans="1:12" ht="34.5" customHeight="1">
      <c r="A54" s="3" t="s">
        <v>202</v>
      </c>
      <c r="B54" s="4" t="s">
        <v>203</v>
      </c>
      <c r="C54" s="13" t="s">
        <v>81</v>
      </c>
      <c r="D54" s="6" t="str">
        <f>IFERROR(INDEX(분류체계!$D$2:$D$16,MATCH($C54,분류체계!$A$2:$A$16,0)),"")</f>
        <v>정보시스템본부 · IP시스템기반실</v>
      </c>
      <c r="E54" s="5" t="s">
        <v>16</v>
      </c>
      <c r="F54" s="5" t="s">
        <v>15</v>
      </c>
      <c r="G54" s="13"/>
      <c r="H54" s="4" t="s">
        <v>204</v>
      </c>
      <c r="I54" s="3">
        <v>3</v>
      </c>
      <c r="J54" s="5" t="s">
        <v>188</v>
      </c>
      <c r="K54" s="7" t="s">
        <v>189</v>
      </c>
      <c r="L54" s="8" t="s">
        <v>20</v>
      </c>
    </row>
    <row r="55" spans="1:12" ht="34.5" customHeight="1">
      <c r="A55" s="3" t="s">
        <v>205</v>
      </c>
      <c r="B55" s="4" t="s">
        <v>206</v>
      </c>
      <c r="C55" s="5" t="s">
        <v>24</v>
      </c>
      <c r="D55" s="6" t="str">
        <f>IFERROR(INDEX(분류체계!$D$2:$D$16,MATCH($C55,분류체계!$A$2:$A$16,0)),"")</f>
        <v>정보활용본부 · IP정보확산실</v>
      </c>
      <c r="E55" s="5" t="s">
        <v>15</v>
      </c>
      <c r="F55" s="5" t="s">
        <v>14</v>
      </c>
      <c r="G55" s="13"/>
      <c r="H55" s="7" t="s">
        <v>207</v>
      </c>
      <c r="I55" s="3">
        <v>1</v>
      </c>
      <c r="J55" s="5" t="s">
        <v>188</v>
      </c>
      <c r="K55" s="7" t="s">
        <v>208</v>
      </c>
      <c r="L55" s="8" t="s">
        <v>20</v>
      </c>
    </row>
    <row r="56" spans="1:12" ht="34.5" customHeight="1">
      <c r="A56" s="3" t="s">
        <v>209</v>
      </c>
      <c r="B56" s="7" t="s">
        <v>210</v>
      </c>
      <c r="C56" s="5" t="s">
        <v>24</v>
      </c>
      <c r="D56" s="6" t="str">
        <f>IFERROR(INDEX(분류체계!$D$2:$D$16,MATCH($C56,분류체계!$A$2:$A$16,0)),"")</f>
        <v>정보활용본부 · IP정보확산실</v>
      </c>
      <c r="E56" s="5" t="s">
        <v>14</v>
      </c>
      <c r="F56" s="5" t="s">
        <v>28</v>
      </c>
      <c r="G56" s="13"/>
      <c r="H56" s="4" t="s">
        <v>211</v>
      </c>
      <c r="I56" s="3">
        <v>1</v>
      </c>
      <c r="J56" s="5" t="s">
        <v>188</v>
      </c>
      <c r="K56" s="7" t="s">
        <v>208</v>
      </c>
      <c r="L56" s="8" t="s">
        <v>20</v>
      </c>
    </row>
    <row r="57" spans="1:12" ht="34.5" customHeight="1">
      <c r="A57" s="3" t="s">
        <v>212</v>
      </c>
      <c r="B57" s="7" t="s">
        <v>213</v>
      </c>
      <c r="C57" s="5" t="s">
        <v>24</v>
      </c>
      <c r="D57" s="6" t="str">
        <f>IFERROR(INDEX(분류체계!$D$2:$D$16,MATCH($C57,분류체계!$A$2:$A$16,0)),"")</f>
        <v>정보활용본부 · IP정보확산실</v>
      </c>
      <c r="E57" s="5" t="s">
        <v>38</v>
      </c>
      <c r="F57" s="5" t="s">
        <v>14</v>
      </c>
      <c r="G57" s="13"/>
      <c r="H57" s="7" t="s">
        <v>214</v>
      </c>
      <c r="I57" s="3">
        <v>3</v>
      </c>
      <c r="J57" s="5" t="s">
        <v>188</v>
      </c>
      <c r="K57" s="7" t="s">
        <v>208</v>
      </c>
      <c r="L57" s="8" t="s">
        <v>20</v>
      </c>
    </row>
    <row r="58" spans="1:12" ht="34.5" customHeight="1">
      <c r="A58" s="3" t="s">
        <v>215</v>
      </c>
      <c r="B58" s="4" t="s">
        <v>216</v>
      </c>
      <c r="C58" s="5" t="s">
        <v>24</v>
      </c>
      <c r="D58" s="6" t="str">
        <f>IFERROR(INDEX(분류체계!$D$2:$D$16,MATCH($C58,분류체계!$A$2:$A$16,0)),"")</f>
        <v>정보활용본부 · IP정보확산실</v>
      </c>
      <c r="E58" s="5" t="s">
        <v>54</v>
      </c>
      <c r="F58" s="5" t="s">
        <v>15</v>
      </c>
      <c r="G58" s="13"/>
      <c r="H58" s="4" t="s">
        <v>217</v>
      </c>
      <c r="I58" s="3">
        <v>2</v>
      </c>
      <c r="J58" s="5" t="s">
        <v>188</v>
      </c>
      <c r="K58" s="7" t="s">
        <v>208</v>
      </c>
      <c r="L58" s="8" t="s">
        <v>20</v>
      </c>
    </row>
    <row r="59" spans="1:12" ht="43.5" customHeight="1">
      <c r="A59" s="9" t="s">
        <v>218</v>
      </c>
      <c r="B59" s="14" t="s">
        <v>219</v>
      </c>
      <c r="C59" s="11" t="s">
        <v>24</v>
      </c>
      <c r="D59" s="6" t="str">
        <f>IFERROR(INDEX(분류체계!$D$2:$D$16,MATCH($C59,분류체계!$A$2:$A$16,0)),"")</f>
        <v>정보활용본부 · IP정보확산실</v>
      </c>
      <c r="E59" s="11" t="s">
        <v>15</v>
      </c>
      <c r="F59" s="15" t="s">
        <v>81</v>
      </c>
      <c r="G59" s="15"/>
      <c r="H59" s="14" t="s">
        <v>220</v>
      </c>
      <c r="I59" s="9">
        <v>2</v>
      </c>
      <c r="J59" s="11" t="s">
        <v>188</v>
      </c>
      <c r="K59" s="10" t="s">
        <v>221</v>
      </c>
      <c r="L59" s="12" t="s">
        <v>78</v>
      </c>
    </row>
    <row r="60" spans="1:12" ht="34.5" customHeight="1">
      <c r="A60" s="3" t="s">
        <v>222</v>
      </c>
      <c r="B60" s="4" t="s">
        <v>223</v>
      </c>
      <c r="C60" s="5" t="s">
        <v>24</v>
      </c>
      <c r="D60" s="6" t="str">
        <f>IFERROR(INDEX(분류체계!$D$2:$D$16,MATCH($C60,분류체계!$A$2:$A$16,0)),"")</f>
        <v>정보활용본부 · IP정보확산실</v>
      </c>
      <c r="E60" s="5" t="s">
        <v>54</v>
      </c>
      <c r="F60" s="5" t="s">
        <v>28</v>
      </c>
      <c r="G60" s="13"/>
      <c r="H60" s="4" t="s">
        <v>224</v>
      </c>
      <c r="I60" s="3">
        <v>3</v>
      </c>
      <c r="J60" s="5" t="s">
        <v>188</v>
      </c>
      <c r="K60" s="7" t="s">
        <v>208</v>
      </c>
      <c r="L60" s="8" t="s">
        <v>20</v>
      </c>
    </row>
    <row r="61" spans="1:12" ht="34.5" customHeight="1">
      <c r="A61" s="3" t="s">
        <v>225</v>
      </c>
      <c r="B61" s="4" t="s">
        <v>226</v>
      </c>
      <c r="C61" s="5" t="s">
        <v>24</v>
      </c>
      <c r="D61" s="6" t="str">
        <f>IFERROR(INDEX(분류체계!$D$2:$D$16,MATCH($C61,분류체계!$A$2:$A$16,0)),"")</f>
        <v>정보활용본부 · IP정보확산실</v>
      </c>
      <c r="E61" s="5" t="s">
        <v>14</v>
      </c>
      <c r="F61" s="5" t="s">
        <v>23</v>
      </c>
      <c r="G61" s="13"/>
      <c r="H61" s="4" t="s">
        <v>227</v>
      </c>
      <c r="I61" s="3">
        <v>2</v>
      </c>
      <c r="J61" s="5" t="s">
        <v>188</v>
      </c>
      <c r="K61" s="7" t="s">
        <v>208</v>
      </c>
      <c r="L61" s="8" t="s">
        <v>20</v>
      </c>
    </row>
    <row r="62" spans="1:12" ht="34.5" customHeight="1">
      <c r="A62" s="3" t="s">
        <v>228</v>
      </c>
      <c r="B62" s="4" t="s">
        <v>229</v>
      </c>
      <c r="C62" s="5" t="s">
        <v>24</v>
      </c>
      <c r="D62" s="6" t="str">
        <f>IFERROR(INDEX(분류체계!$D$2:$D$16,MATCH($C62,분류체계!$A$2:$A$16,0)),"")</f>
        <v>정보활용본부 · IP정보확산실</v>
      </c>
      <c r="E62" s="5" t="s">
        <v>14</v>
      </c>
      <c r="F62" s="5" t="s">
        <v>16</v>
      </c>
      <c r="G62" s="13"/>
      <c r="H62" s="7" t="s">
        <v>230</v>
      </c>
      <c r="I62" s="3">
        <v>2</v>
      </c>
      <c r="J62" s="5" t="s">
        <v>188</v>
      </c>
      <c r="K62" s="7" t="s">
        <v>208</v>
      </c>
      <c r="L62" s="8" t="s">
        <v>20</v>
      </c>
    </row>
    <row r="63" spans="1:12" ht="34.5" customHeight="1">
      <c r="A63" s="3" t="s">
        <v>231</v>
      </c>
      <c r="B63" s="4" t="s">
        <v>232</v>
      </c>
      <c r="C63" s="5" t="s">
        <v>162</v>
      </c>
      <c r="D63" s="6" t="str">
        <f>IFERROR(INDEX(분류체계!$D$2:$D$16,MATCH($C63,분류체계!$A$2:$A$16,0)),"")</f>
        <v>정보활용본부 · IP정보확산실</v>
      </c>
      <c r="E63" s="5" t="s">
        <v>54</v>
      </c>
      <c r="F63" s="5" t="s">
        <v>23</v>
      </c>
      <c r="G63" s="13"/>
      <c r="H63" s="7" t="s">
        <v>233</v>
      </c>
      <c r="I63" s="3">
        <v>1</v>
      </c>
      <c r="J63" s="5" t="s">
        <v>188</v>
      </c>
      <c r="K63" s="7" t="s">
        <v>234</v>
      </c>
      <c r="L63" s="8" t="s">
        <v>20</v>
      </c>
    </row>
    <row r="64" spans="1:12" ht="34.5" customHeight="1">
      <c r="A64" s="3" t="s">
        <v>235</v>
      </c>
      <c r="B64" s="4" t="s">
        <v>236</v>
      </c>
      <c r="C64" s="5" t="s">
        <v>162</v>
      </c>
      <c r="D64" s="6" t="str">
        <f>IFERROR(INDEX(분류체계!$D$2:$D$16,MATCH($C64,분류체계!$A$2:$A$16,0)),"")</f>
        <v>정보활용본부 · IP정보확산실</v>
      </c>
      <c r="E64" s="5" t="s">
        <v>23</v>
      </c>
      <c r="F64" s="5" t="s">
        <v>28</v>
      </c>
      <c r="G64" s="13"/>
      <c r="H64" s="7" t="s">
        <v>237</v>
      </c>
      <c r="I64" s="3">
        <v>2</v>
      </c>
      <c r="J64" s="5" t="s">
        <v>188</v>
      </c>
      <c r="K64" s="7" t="s">
        <v>234</v>
      </c>
      <c r="L64" s="8" t="s">
        <v>20</v>
      </c>
    </row>
    <row r="65" spans="1:12" ht="34.5" customHeight="1">
      <c r="A65" s="3" t="s">
        <v>238</v>
      </c>
      <c r="B65" s="7" t="s">
        <v>239</v>
      </c>
      <c r="C65" s="5" t="s">
        <v>162</v>
      </c>
      <c r="D65" s="6" t="str">
        <f>IFERROR(INDEX(분류체계!$D$2:$D$16,MATCH($C65,분류체계!$A$2:$A$16,0)),"")</f>
        <v>정보활용본부 · IP정보확산실</v>
      </c>
      <c r="E65" s="5" t="s">
        <v>54</v>
      </c>
      <c r="F65" s="5" t="s">
        <v>24</v>
      </c>
      <c r="G65" s="13"/>
      <c r="H65" s="4" t="s">
        <v>240</v>
      </c>
      <c r="I65" s="3">
        <v>2</v>
      </c>
      <c r="J65" s="5" t="s">
        <v>188</v>
      </c>
      <c r="K65" s="7" t="s">
        <v>234</v>
      </c>
      <c r="L65" s="8" t="s">
        <v>20</v>
      </c>
    </row>
    <row r="66" spans="1:12" ht="34.5" customHeight="1">
      <c r="A66" s="3" t="s">
        <v>241</v>
      </c>
      <c r="B66" s="4" t="s">
        <v>242</v>
      </c>
      <c r="C66" s="5" t="s">
        <v>162</v>
      </c>
      <c r="D66" s="6" t="str">
        <f>IFERROR(INDEX(분류체계!$D$2:$D$16,MATCH($C66,분류체계!$A$2:$A$16,0)),"")</f>
        <v>정보활용본부 · IP정보확산실</v>
      </c>
      <c r="E66" s="5" t="s">
        <v>23</v>
      </c>
      <c r="F66" s="5" t="s">
        <v>54</v>
      </c>
      <c r="G66" s="13"/>
      <c r="H66" s="4" t="s">
        <v>243</v>
      </c>
      <c r="I66" s="3">
        <v>3</v>
      </c>
      <c r="J66" s="5" t="s">
        <v>188</v>
      </c>
      <c r="K66" s="7" t="s">
        <v>234</v>
      </c>
      <c r="L66" s="8" t="s">
        <v>20</v>
      </c>
    </row>
    <row r="67" spans="1:12" ht="34.5" customHeight="1">
      <c r="A67" s="3" t="s">
        <v>244</v>
      </c>
      <c r="B67" s="4" t="s">
        <v>245</v>
      </c>
      <c r="C67" s="5" t="s">
        <v>162</v>
      </c>
      <c r="D67" s="6" t="str">
        <f>IFERROR(INDEX(분류체계!$D$2:$D$16,MATCH($C67,분류체계!$A$2:$A$16,0)),"")</f>
        <v>정보활용본부 · IP정보확산실</v>
      </c>
      <c r="E67" s="5" t="s">
        <v>54</v>
      </c>
      <c r="F67" s="5" t="s">
        <v>28</v>
      </c>
      <c r="G67" s="13"/>
      <c r="H67" s="7" t="s">
        <v>246</v>
      </c>
      <c r="I67" s="3">
        <v>3</v>
      </c>
      <c r="J67" s="5" t="s">
        <v>188</v>
      </c>
      <c r="K67" s="7" t="s">
        <v>234</v>
      </c>
      <c r="L67" s="8" t="s">
        <v>20</v>
      </c>
    </row>
    <row r="68" spans="1:12" ht="34.5" customHeight="1">
      <c r="A68" s="3" t="s">
        <v>247</v>
      </c>
      <c r="B68" s="7" t="s">
        <v>248</v>
      </c>
      <c r="C68" s="5" t="s">
        <v>38</v>
      </c>
      <c r="D68" s="6" t="str">
        <f>IFERROR(INDEX(분류체계!$D$2:$D$16,MATCH($C68,분류체계!$A$2:$A$16,0)),"")</f>
        <v>지능정보화센터 · 지능정보전략실</v>
      </c>
      <c r="E68" s="5" t="s">
        <v>15</v>
      </c>
      <c r="F68" s="5" t="s">
        <v>14</v>
      </c>
      <c r="G68" s="13"/>
      <c r="H68" s="4" t="s">
        <v>249</v>
      </c>
      <c r="I68" s="3">
        <v>1</v>
      </c>
      <c r="J68" s="5" t="s">
        <v>188</v>
      </c>
      <c r="K68" s="7" t="s">
        <v>250</v>
      </c>
      <c r="L68" s="8" t="s">
        <v>20</v>
      </c>
    </row>
    <row r="69" spans="1:12" ht="43.5" customHeight="1">
      <c r="A69" s="9" t="s">
        <v>251</v>
      </c>
      <c r="B69" s="10" t="s">
        <v>252</v>
      </c>
      <c r="C69" s="11" t="s">
        <v>38</v>
      </c>
      <c r="D69" s="6" t="str">
        <f>IFERROR(INDEX(분류체계!$D$2:$D$16,MATCH($C69,분류체계!$A$2:$A$16,0)),"")</f>
        <v>지능정보화센터 · 지능정보전략실</v>
      </c>
      <c r="E69" s="11" t="s">
        <v>15</v>
      </c>
      <c r="F69" s="11" t="s">
        <v>14</v>
      </c>
      <c r="G69" s="15"/>
      <c r="H69" s="10" t="s">
        <v>253</v>
      </c>
      <c r="I69" s="9">
        <v>2</v>
      </c>
      <c r="J69" s="11" t="s">
        <v>188</v>
      </c>
      <c r="K69" s="10" t="s">
        <v>254</v>
      </c>
      <c r="L69" s="12" t="s">
        <v>78</v>
      </c>
    </row>
    <row r="70" spans="1:12" ht="34.5" customHeight="1">
      <c r="A70" s="3" t="s">
        <v>255</v>
      </c>
      <c r="B70" s="7" t="s">
        <v>256</v>
      </c>
      <c r="C70" s="5" t="s">
        <v>38</v>
      </c>
      <c r="D70" s="6" t="str">
        <f>IFERROR(INDEX(분류체계!$D$2:$D$16,MATCH($C70,분류체계!$A$2:$A$16,0)),"")</f>
        <v>지능정보화센터 · 지능정보전략실</v>
      </c>
      <c r="E70" s="5" t="s">
        <v>24</v>
      </c>
      <c r="F70" s="5" t="s">
        <v>14</v>
      </c>
      <c r="G70" s="13"/>
      <c r="H70" s="4" t="s">
        <v>257</v>
      </c>
      <c r="I70" s="3">
        <v>2</v>
      </c>
      <c r="J70" s="5" t="s">
        <v>188</v>
      </c>
      <c r="K70" s="7" t="s">
        <v>250</v>
      </c>
      <c r="L70" s="8" t="s">
        <v>20</v>
      </c>
    </row>
    <row r="71" spans="1:12" ht="34.5" customHeight="1">
      <c r="A71" s="3" t="s">
        <v>258</v>
      </c>
      <c r="B71" s="4" t="s">
        <v>259</v>
      </c>
      <c r="C71" s="5" t="s">
        <v>49</v>
      </c>
      <c r="D71" s="6" t="str">
        <f>IFERROR(INDEX(분류체계!$D$2:$D$16,MATCH($C71,분류체계!$A$2:$A$16,0)),"")</f>
        <v>정보활용본부 · IP고객상담실</v>
      </c>
      <c r="E71" s="5" t="s">
        <v>16</v>
      </c>
      <c r="F71" s="5" t="s">
        <v>38</v>
      </c>
      <c r="G71" s="13"/>
      <c r="H71" s="4" t="s">
        <v>260</v>
      </c>
      <c r="I71" s="3">
        <v>3</v>
      </c>
      <c r="J71" s="5" t="s">
        <v>261</v>
      </c>
      <c r="K71" s="7" t="s">
        <v>262</v>
      </c>
      <c r="L71" s="8" t="s">
        <v>20</v>
      </c>
    </row>
    <row r="72" spans="1:12" ht="34.5" customHeight="1">
      <c r="A72" s="3" t="s">
        <v>263</v>
      </c>
      <c r="B72" s="4" t="s">
        <v>264</v>
      </c>
      <c r="C72" s="5" t="s">
        <v>38</v>
      </c>
      <c r="D72" s="6" t="str">
        <f>IFERROR(INDEX(분류체계!$D$2:$D$16,MATCH($C72,분류체계!$A$2:$A$16,0)),"")</f>
        <v>지능정보화센터 · 지능정보전략실</v>
      </c>
      <c r="E72" s="5" t="s">
        <v>14</v>
      </c>
      <c r="F72" s="5" t="s">
        <v>131</v>
      </c>
      <c r="G72" s="13"/>
      <c r="H72" s="4" t="s">
        <v>265</v>
      </c>
      <c r="I72" s="3">
        <v>3</v>
      </c>
      <c r="J72" s="5" t="s">
        <v>188</v>
      </c>
      <c r="K72" s="7" t="s">
        <v>250</v>
      </c>
      <c r="L72" s="8" t="s">
        <v>20</v>
      </c>
    </row>
    <row r="73" spans="1:12" ht="34.5" customHeight="1">
      <c r="A73" s="3" t="s">
        <v>266</v>
      </c>
      <c r="B73" s="4" t="s">
        <v>267</v>
      </c>
      <c r="C73" s="5" t="s">
        <v>38</v>
      </c>
      <c r="D73" s="6" t="str">
        <f>IFERROR(INDEX(분류체계!$D$2:$D$16,MATCH($C73,분류체계!$A$2:$A$16,0)),"")</f>
        <v>지능정보화센터 · 지능정보전략실</v>
      </c>
      <c r="E73" s="5" t="s">
        <v>15</v>
      </c>
      <c r="F73" s="5" t="s">
        <v>24</v>
      </c>
      <c r="G73" s="13"/>
      <c r="H73" s="4" t="s">
        <v>268</v>
      </c>
      <c r="I73" s="3">
        <v>2</v>
      </c>
      <c r="J73" s="5" t="s">
        <v>188</v>
      </c>
      <c r="K73" s="7" t="s">
        <v>250</v>
      </c>
      <c r="L73" s="8" t="s">
        <v>20</v>
      </c>
    </row>
    <row r="74" spans="1:12" ht="34.5" customHeight="1">
      <c r="A74" s="3" t="s">
        <v>269</v>
      </c>
      <c r="B74" s="4" t="s">
        <v>270</v>
      </c>
      <c r="C74" s="5" t="s">
        <v>16</v>
      </c>
      <c r="D74" s="6" t="str">
        <f>IFERROR(INDEX(분류체계!$D$2:$D$16,MATCH($C74,분류체계!$A$2:$A$16,0)),"")</f>
        <v>정보시스템본부 · IP시스템기반실</v>
      </c>
      <c r="E74" s="13" t="s">
        <v>81</v>
      </c>
      <c r="F74" s="5" t="s">
        <v>49</v>
      </c>
      <c r="G74" s="13"/>
      <c r="H74" s="4" t="s">
        <v>271</v>
      </c>
      <c r="I74" s="3">
        <v>1</v>
      </c>
      <c r="J74" s="5" t="s">
        <v>261</v>
      </c>
      <c r="K74" s="7" t="s">
        <v>272</v>
      </c>
      <c r="L74" s="8" t="s">
        <v>20</v>
      </c>
    </row>
    <row r="75" spans="1:12" ht="34.5" customHeight="1">
      <c r="A75" s="3" t="s">
        <v>273</v>
      </c>
      <c r="B75" s="4" t="s">
        <v>274</v>
      </c>
      <c r="C75" s="5" t="s">
        <v>16</v>
      </c>
      <c r="D75" s="6" t="str">
        <f>IFERROR(INDEX(분류체계!$D$2:$D$16,MATCH($C75,분류체계!$A$2:$A$16,0)),"")</f>
        <v>정보시스템본부 · IP시스템기반실</v>
      </c>
      <c r="E75" s="5" t="s">
        <v>49</v>
      </c>
      <c r="F75" s="5" t="s">
        <v>85</v>
      </c>
      <c r="G75" s="13"/>
      <c r="H75" s="4" t="s">
        <v>275</v>
      </c>
      <c r="I75" s="3">
        <v>1</v>
      </c>
      <c r="J75" s="5" t="s">
        <v>261</v>
      </c>
      <c r="K75" s="7" t="s">
        <v>272</v>
      </c>
      <c r="L75" s="8" t="s">
        <v>20</v>
      </c>
    </row>
    <row r="76" spans="1:12" ht="34.5" customHeight="1">
      <c r="A76" s="3" t="s">
        <v>276</v>
      </c>
      <c r="B76" s="4" t="s">
        <v>277</v>
      </c>
      <c r="C76" s="5" t="s">
        <v>16</v>
      </c>
      <c r="D76" s="6" t="str">
        <f>IFERROR(INDEX(분류체계!$D$2:$D$16,MATCH($C76,분류체계!$A$2:$A$16,0)),"")</f>
        <v>정보시스템본부 · IP시스템기반실</v>
      </c>
      <c r="E76" s="5" t="s">
        <v>49</v>
      </c>
      <c r="F76" s="13" t="s">
        <v>81</v>
      </c>
      <c r="G76" s="13"/>
      <c r="H76" s="7" t="s">
        <v>278</v>
      </c>
      <c r="I76" s="3">
        <v>2</v>
      </c>
      <c r="J76" s="5" t="s">
        <v>261</v>
      </c>
      <c r="K76" s="7" t="s">
        <v>272</v>
      </c>
      <c r="L76" s="8" t="s">
        <v>20</v>
      </c>
    </row>
    <row r="77" spans="1:12" ht="34.5" customHeight="1">
      <c r="A77" s="3" t="s">
        <v>279</v>
      </c>
      <c r="B77" s="4" t="s">
        <v>280</v>
      </c>
      <c r="C77" s="5" t="s">
        <v>16</v>
      </c>
      <c r="D77" s="6" t="str">
        <f>IFERROR(INDEX(분류체계!$D$2:$D$16,MATCH($C77,분류체계!$A$2:$A$16,0)),"")</f>
        <v>정보시스템본부 · IP시스템기반실</v>
      </c>
      <c r="E77" s="13" t="s">
        <v>81</v>
      </c>
      <c r="F77" s="5" t="s">
        <v>38</v>
      </c>
      <c r="G77" s="13"/>
      <c r="H77" s="4" t="s">
        <v>281</v>
      </c>
      <c r="I77" s="3">
        <v>3</v>
      </c>
      <c r="J77" s="5" t="s">
        <v>261</v>
      </c>
      <c r="K77" s="7" t="s">
        <v>272</v>
      </c>
      <c r="L77" s="8" t="s">
        <v>20</v>
      </c>
    </row>
    <row r="78" spans="1:12" ht="34.5" customHeight="1">
      <c r="A78" s="3" t="s">
        <v>282</v>
      </c>
      <c r="B78" s="4" t="s">
        <v>283</v>
      </c>
      <c r="C78" s="5" t="s">
        <v>16</v>
      </c>
      <c r="D78" s="6" t="str">
        <f>IFERROR(INDEX(분류체계!$D$2:$D$16,MATCH($C78,분류체계!$A$2:$A$16,0)),"")</f>
        <v>정보시스템본부 · IP시스템기반실</v>
      </c>
      <c r="E78" s="5" t="s">
        <v>85</v>
      </c>
      <c r="F78" s="5" t="s">
        <v>49</v>
      </c>
      <c r="G78" s="13"/>
      <c r="H78" s="4" t="s">
        <v>284</v>
      </c>
      <c r="I78" s="3">
        <v>2</v>
      </c>
      <c r="J78" s="5" t="s">
        <v>261</v>
      </c>
      <c r="K78" s="7" t="s">
        <v>272</v>
      </c>
      <c r="L78" s="8" t="s">
        <v>20</v>
      </c>
    </row>
    <row r="79" spans="1:12" ht="34.5" customHeight="1">
      <c r="A79" s="3" t="s">
        <v>285</v>
      </c>
      <c r="B79" s="4" t="s">
        <v>286</v>
      </c>
      <c r="C79" s="5" t="s">
        <v>49</v>
      </c>
      <c r="D79" s="6" t="str">
        <f>IFERROR(INDEX(분류체계!$D$2:$D$16,MATCH($C79,분류체계!$A$2:$A$16,0)),"")</f>
        <v>정보활용본부 · IP고객상담실</v>
      </c>
      <c r="E79" s="5" t="s">
        <v>38</v>
      </c>
      <c r="F79" s="5" t="s">
        <v>16</v>
      </c>
      <c r="G79" s="13"/>
      <c r="H79" s="7" t="s">
        <v>287</v>
      </c>
      <c r="I79" s="3">
        <v>2</v>
      </c>
      <c r="J79" s="5" t="s">
        <v>261</v>
      </c>
      <c r="K79" s="7" t="s">
        <v>262</v>
      </c>
      <c r="L79" s="8" t="s">
        <v>20</v>
      </c>
    </row>
    <row r="80" spans="1:12" ht="34.5" customHeight="1">
      <c r="A80" s="3" t="s">
        <v>288</v>
      </c>
      <c r="B80" s="4" t="s">
        <v>289</v>
      </c>
      <c r="C80" s="5" t="s">
        <v>16</v>
      </c>
      <c r="D80" s="6" t="str">
        <f>IFERROR(INDEX(분류체계!$D$2:$D$16,MATCH($C80,분류체계!$A$2:$A$16,0)),"")</f>
        <v>정보시스템본부 · IP시스템기반실</v>
      </c>
      <c r="E80" s="5" t="s">
        <v>14</v>
      </c>
      <c r="F80" s="5" t="s">
        <v>85</v>
      </c>
      <c r="G80" s="13"/>
      <c r="H80" s="4" t="s">
        <v>290</v>
      </c>
      <c r="I80" s="3">
        <v>3</v>
      </c>
      <c r="J80" s="5" t="s">
        <v>261</v>
      </c>
      <c r="K80" s="7" t="s">
        <v>272</v>
      </c>
      <c r="L80" s="8" t="s">
        <v>20</v>
      </c>
    </row>
    <row r="81" spans="1:12" ht="34.5" customHeight="1">
      <c r="A81" s="3" t="s">
        <v>291</v>
      </c>
      <c r="B81" s="4" t="s">
        <v>292</v>
      </c>
      <c r="C81" s="5" t="s">
        <v>16</v>
      </c>
      <c r="D81" s="6" t="str">
        <f>IFERROR(INDEX(분류체계!$D$2:$D$16,MATCH($C81,분류체계!$A$2:$A$16,0)),"")</f>
        <v>정보시스템본부 · IP시스템기반실</v>
      </c>
      <c r="E81" s="13" t="s">
        <v>81</v>
      </c>
      <c r="F81" s="5" t="s">
        <v>49</v>
      </c>
      <c r="G81" s="13"/>
      <c r="H81" s="4" t="s">
        <v>293</v>
      </c>
      <c r="I81" s="3">
        <v>2</v>
      </c>
      <c r="J81" s="5" t="s">
        <v>261</v>
      </c>
      <c r="K81" s="7" t="s">
        <v>272</v>
      </c>
      <c r="L81" s="8" t="s">
        <v>20</v>
      </c>
    </row>
    <row r="82" spans="1:12" ht="34.5" customHeight="1">
      <c r="A82" s="3" t="s">
        <v>294</v>
      </c>
      <c r="B82" s="4" t="s">
        <v>295</v>
      </c>
      <c r="C82" s="5" t="s">
        <v>49</v>
      </c>
      <c r="D82" s="6" t="str">
        <f>IFERROR(INDEX(분류체계!$D$2:$D$16,MATCH($C82,분류체계!$A$2:$A$16,0)),"")</f>
        <v>정보활용본부 · IP고객상담실</v>
      </c>
      <c r="E82" s="5" t="s">
        <v>16</v>
      </c>
      <c r="F82" s="5" t="s">
        <v>15</v>
      </c>
      <c r="G82" s="13"/>
      <c r="H82" s="4" t="s">
        <v>296</v>
      </c>
      <c r="I82" s="3">
        <v>1</v>
      </c>
      <c r="J82" s="5" t="s">
        <v>261</v>
      </c>
      <c r="K82" s="7" t="s">
        <v>262</v>
      </c>
      <c r="L82" s="8" t="s">
        <v>20</v>
      </c>
    </row>
    <row r="83" spans="1:12" ht="34.5" customHeight="1">
      <c r="A83" s="3" t="s">
        <v>297</v>
      </c>
      <c r="B83" s="4" t="s">
        <v>298</v>
      </c>
      <c r="C83" s="5" t="s">
        <v>49</v>
      </c>
      <c r="D83" s="6" t="str">
        <f>IFERROR(INDEX(분류체계!$D$2:$D$16,MATCH($C83,분류체계!$A$2:$A$16,0)),"")</f>
        <v>정보활용본부 · IP고객상담실</v>
      </c>
      <c r="E83" s="5" t="s">
        <v>16</v>
      </c>
      <c r="F83" s="5" t="s">
        <v>54</v>
      </c>
      <c r="G83" s="13"/>
      <c r="H83" s="4" t="s">
        <v>299</v>
      </c>
      <c r="I83" s="3">
        <v>1</v>
      </c>
      <c r="J83" s="5" t="s">
        <v>261</v>
      </c>
      <c r="K83" s="7" t="s">
        <v>262</v>
      </c>
      <c r="L83" s="8" t="s">
        <v>20</v>
      </c>
    </row>
    <row r="84" spans="1:12" ht="34.5" customHeight="1">
      <c r="A84" s="3" t="s">
        <v>300</v>
      </c>
      <c r="B84" s="4" t="s">
        <v>301</v>
      </c>
      <c r="C84" s="5" t="s">
        <v>49</v>
      </c>
      <c r="D84" s="6" t="str">
        <f>IFERROR(INDEX(분류체계!$D$2:$D$16,MATCH($C84,분류체계!$A$2:$A$16,0)),"")</f>
        <v>정보활용본부 · IP고객상담실</v>
      </c>
      <c r="E84" s="5" t="s">
        <v>16</v>
      </c>
      <c r="F84" s="5" t="s">
        <v>14</v>
      </c>
      <c r="G84" s="13"/>
      <c r="H84" s="4" t="s">
        <v>302</v>
      </c>
      <c r="I84" s="3">
        <v>2</v>
      </c>
      <c r="J84" s="5" t="s">
        <v>261</v>
      </c>
      <c r="K84" s="7" t="s">
        <v>262</v>
      </c>
      <c r="L84" s="8" t="s">
        <v>20</v>
      </c>
    </row>
    <row r="85" spans="1:12" ht="34.5" customHeight="1">
      <c r="A85" s="3" t="s">
        <v>303</v>
      </c>
      <c r="B85" s="4" t="s">
        <v>304</v>
      </c>
      <c r="C85" s="5" t="s">
        <v>49</v>
      </c>
      <c r="D85" s="6" t="str">
        <f>IFERROR(INDEX(분류체계!$D$2:$D$16,MATCH($C85,분류체계!$A$2:$A$16,0)),"")</f>
        <v>정보활용본부 · IP고객상담실</v>
      </c>
      <c r="E85" s="5" t="s">
        <v>16</v>
      </c>
      <c r="F85" s="5" t="s">
        <v>54</v>
      </c>
      <c r="G85" s="13"/>
      <c r="H85" s="4" t="s">
        <v>305</v>
      </c>
      <c r="I85" s="3">
        <v>2</v>
      </c>
      <c r="J85" s="5" t="s">
        <v>261</v>
      </c>
      <c r="K85" s="7" t="s">
        <v>262</v>
      </c>
      <c r="L85" s="8" t="s">
        <v>20</v>
      </c>
    </row>
    <row r="86" spans="1:12" ht="34.5" customHeight="1">
      <c r="A86" s="3" t="s">
        <v>306</v>
      </c>
      <c r="B86" s="4" t="s">
        <v>307</v>
      </c>
      <c r="C86" s="5" t="s">
        <v>49</v>
      </c>
      <c r="D86" s="6" t="str">
        <f>IFERROR(INDEX(분류체계!$D$2:$D$16,MATCH($C86,분류체계!$A$2:$A$16,0)),"")</f>
        <v>정보활용본부 · IP고객상담실</v>
      </c>
      <c r="E86" s="5" t="s">
        <v>16</v>
      </c>
      <c r="F86" s="5" t="s">
        <v>54</v>
      </c>
      <c r="G86" s="5" t="s">
        <v>15</v>
      </c>
      <c r="H86" s="4" t="s">
        <v>308</v>
      </c>
      <c r="I86" s="3">
        <v>2</v>
      </c>
      <c r="J86" s="5" t="s">
        <v>261</v>
      </c>
      <c r="K86" s="7" t="s">
        <v>262</v>
      </c>
      <c r="L86" s="8" t="s">
        <v>20</v>
      </c>
    </row>
    <row r="87" spans="1:12" ht="43.5" customHeight="1">
      <c r="A87" s="9" t="s">
        <v>309</v>
      </c>
      <c r="B87" s="10" t="s">
        <v>310</v>
      </c>
      <c r="C87" s="11" t="s">
        <v>49</v>
      </c>
      <c r="D87" s="6" t="str">
        <f>IFERROR(INDEX(분류체계!$D$2:$D$16,MATCH($C87,분류체계!$A$2:$A$16,0)),"")</f>
        <v>정보활용본부 · IP고객상담실</v>
      </c>
      <c r="E87" s="11" t="s">
        <v>23</v>
      </c>
      <c r="F87" s="11" t="s">
        <v>131</v>
      </c>
      <c r="G87" s="15"/>
      <c r="H87" s="10" t="s">
        <v>311</v>
      </c>
      <c r="I87" s="9">
        <v>3</v>
      </c>
      <c r="J87" s="11" t="s">
        <v>261</v>
      </c>
      <c r="K87" s="14" t="s">
        <v>312</v>
      </c>
      <c r="L87" s="12" t="s">
        <v>78</v>
      </c>
    </row>
    <row r="88" spans="1:12" ht="34.5" customHeight="1">
      <c r="A88" s="3" t="s">
        <v>313</v>
      </c>
      <c r="B88" s="4" t="s">
        <v>314</v>
      </c>
      <c r="C88" s="5" t="s">
        <v>49</v>
      </c>
      <c r="D88" s="6" t="str">
        <f>IFERROR(INDEX(분류체계!$D$2:$D$16,MATCH($C88,분류체계!$A$2:$A$16,0)),"")</f>
        <v>정보활용본부 · IP고객상담실</v>
      </c>
      <c r="E88" s="5" t="s">
        <v>16</v>
      </c>
      <c r="F88" s="5" t="s">
        <v>54</v>
      </c>
      <c r="G88" s="13"/>
      <c r="H88" s="4" t="s">
        <v>315</v>
      </c>
      <c r="I88" s="3">
        <v>2</v>
      </c>
      <c r="J88" s="5" t="s">
        <v>261</v>
      </c>
      <c r="K88" s="7" t="s">
        <v>262</v>
      </c>
      <c r="L88" s="8" t="s">
        <v>20</v>
      </c>
    </row>
    <row r="89" spans="1:12" ht="43.5" customHeight="1">
      <c r="A89" s="9" t="s">
        <v>316</v>
      </c>
      <c r="B89" s="10" t="s">
        <v>317</v>
      </c>
      <c r="C89" s="11" t="s">
        <v>49</v>
      </c>
      <c r="D89" s="6" t="str">
        <f>IFERROR(INDEX(분류체계!$D$2:$D$16,MATCH($C89,분류체계!$A$2:$A$16,0)),"")</f>
        <v>정보활용본부 · IP고객상담실</v>
      </c>
      <c r="E89" s="11" t="s">
        <v>16</v>
      </c>
      <c r="F89" s="11" t="s">
        <v>14</v>
      </c>
      <c r="G89" s="15"/>
      <c r="H89" s="10" t="s">
        <v>318</v>
      </c>
      <c r="I89" s="9">
        <v>3</v>
      </c>
      <c r="J89" s="11" t="s">
        <v>261</v>
      </c>
      <c r="K89" s="14" t="s">
        <v>319</v>
      </c>
      <c r="L89" s="12" t="s">
        <v>78</v>
      </c>
    </row>
    <row r="90" spans="1:12" ht="34.5" customHeight="1">
      <c r="A90" s="3" t="s">
        <v>320</v>
      </c>
      <c r="B90" s="4" t="s">
        <v>321</v>
      </c>
      <c r="C90" s="5" t="s">
        <v>23</v>
      </c>
      <c r="D90" s="6" t="str">
        <f>IFERROR(INDEX(분류체계!$D$2:$D$16,MATCH($C90,분류체계!$A$2:$A$16,0)),"")</f>
        <v>정보활용본부 · IP정보확산실</v>
      </c>
      <c r="E90" s="5" t="s">
        <v>16</v>
      </c>
      <c r="F90" s="5" t="s">
        <v>54</v>
      </c>
      <c r="G90" s="13"/>
      <c r="H90" s="4" t="s">
        <v>322</v>
      </c>
      <c r="I90" s="3">
        <v>1</v>
      </c>
      <c r="J90" s="5" t="s">
        <v>188</v>
      </c>
      <c r="K90" s="7" t="s">
        <v>323</v>
      </c>
      <c r="L90" s="8" t="s">
        <v>20</v>
      </c>
    </row>
    <row r="91" spans="1:12" ht="34.5" customHeight="1">
      <c r="A91" s="3" t="s">
        <v>324</v>
      </c>
      <c r="B91" s="4" t="s">
        <v>325</v>
      </c>
      <c r="C91" s="5" t="s">
        <v>23</v>
      </c>
      <c r="D91" s="6" t="str">
        <f>IFERROR(INDEX(분류체계!$D$2:$D$16,MATCH($C91,분류체계!$A$2:$A$16,0)),"")</f>
        <v>정보활용본부 · IP정보확산실</v>
      </c>
      <c r="E91" s="5" t="s">
        <v>16</v>
      </c>
      <c r="F91" s="13" t="s">
        <v>81</v>
      </c>
      <c r="G91" s="13"/>
      <c r="H91" s="4" t="s">
        <v>326</v>
      </c>
      <c r="I91" s="3">
        <v>2</v>
      </c>
      <c r="J91" s="5" t="s">
        <v>188</v>
      </c>
      <c r="K91" s="7" t="s">
        <v>323</v>
      </c>
      <c r="L91" s="8" t="s">
        <v>20</v>
      </c>
    </row>
    <row r="92" spans="1:12" ht="43.5" customHeight="1">
      <c r="A92" s="9" t="s">
        <v>327</v>
      </c>
      <c r="B92" s="10" t="s">
        <v>328</v>
      </c>
      <c r="C92" s="11" t="s">
        <v>23</v>
      </c>
      <c r="D92" s="6" t="str">
        <f>IFERROR(INDEX(분류체계!$D$2:$D$16,MATCH($C92,분류체계!$A$2:$A$16,0)),"")</f>
        <v>정보활용본부 · IP정보확산실</v>
      </c>
      <c r="E92" s="11" t="s">
        <v>16</v>
      </c>
      <c r="F92" s="11" t="s">
        <v>162</v>
      </c>
      <c r="G92" s="15"/>
      <c r="H92" s="14" t="s">
        <v>329</v>
      </c>
      <c r="I92" s="9">
        <v>3</v>
      </c>
      <c r="J92" s="11" t="s">
        <v>188</v>
      </c>
      <c r="K92" s="10" t="s">
        <v>330</v>
      </c>
      <c r="L92" s="12" t="s">
        <v>78</v>
      </c>
    </row>
    <row r="93" spans="1:12" ht="29.25" customHeight="1">
      <c r="A93" s="9" t="s">
        <v>331</v>
      </c>
      <c r="B93" s="10" t="s">
        <v>332</v>
      </c>
      <c r="C93" s="11" t="s">
        <v>23</v>
      </c>
      <c r="D93" s="6" t="str">
        <f>IFERROR(INDEX(분류체계!$D$2:$D$16,MATCH($C93,분류체계!$A$2:$A$16,0)),"")</f>
        <v>정보활용본부 · IP정보확산실</v>
      </c>
      <c r="E93" s="11" t="s">
        <v>162</v>
      </c>
      <c r="F93" s="11" t="s">
        <v>28</v>
      </c>
      <c r="G93" s="15"/>
      <c r="H93" s="14" t="s">
        <v>333</v>
      </c>
      <c r="I93" s="9">
        <v>3</v>
      </c>
      <c r="J93" s="11" t="s">
        <v>188</v>
      </c>
      <c r="K93" s="10" t="s">
        <v>334</v>
      </c>
      <c r="L93" s="12" t="s">
        <v>78</v>
      </c>
    </row>
    <row r="94" spans="1:12" ht="34.5" customHeight="1">
      <c r="A94" s="3" t="s">
        <v>335</v>
      </c>
      <c r="B94" s="4" t="s">
        <v>336</v>
      </c>
      <c r="C94" s="5" t="s">
        <v>23</v>
      </c>
      <c r="D94" s="6" t="str">
        <f>IFERROR(INDEX(분류체계!$D$2:$D$16,MATCH($C94,분류체계!$A$2:$A$16,0)),"")</f>
        <v>정보활용본부 · IP정보확산실</v>
      </c>
      <c r="E94" s="5" t="s">
        <v>14</v>
      </c>
      <c r="F94" s="5" t="s">
        <v>42</v>
      </c>
      <c r="G94" s="13"/>
      <c r="H94" s="4" t="s">
        <v>337</v>
      </c>
      <c r="I94" s="3">
        <v>2</v>
      </c>
      <c r="J94" s="5" t="s">
        <v>188</v>
      </c>
      <c r="K94" s="7" t="s">
        <v>323</v>
      </c>
      <c r="L94" s="8" t="s">
        <v>20</v>
      </c>
    </row>
    <row r="95" spans="1:12" ht="34.5" customHeight="1">
      <c r="A95" s="3" t="s">
        <v>338</v>
      </c>
      <c r="B95" s="4" t="s">
        <v>339</v>
      </c>
      <c r="C95" s="5" t="s">
        <v>23</v>
      </c>
      <c r="D95" s="6" t="str">
        <f>IFERROR(INDEX(분류체계!$D$2:$D$16,MATCH($C95,분류체계!$A$2:$A$16,0)),"")</f>
        <v>정보활용본부 · IP정보확산실</v>
      </c>
      <c r="E95" s="5" t="s">
        <v>162</v>
      </c>
      <c r="F95" s="5" t="s">
        <v>54</v>
      </c>
      <c r="G95" s="13"/>
      <c r="H95" s="4" t="s">
        <v>340</v>
      </c>
      <c r="I95" s="3">
        <v>2</v>
      </c>
      <c r="J95" s="5" t="s">
        <v>188</v>
      </c>
      <c r="K95" s="7" t="s">
        <v>323</v>
      </c>
      <c r="L95" s="8" t="s">
        <v>20</v>
      </c>
    </row>
    <row r="96" spans="1:12" ht="34.5" customHeight="1">
      <c r="A96" s="3" t="s">
        <v>341</v>
      </c>
      <c r="B96" s="4" t="s">
        <v>342</v>
      </c>
      <c r="C96" s="5" t="s">
        <v>54</v>
      </c>
      <c r="D96" s="6" t="str">
        <f>IFERROR(INDEX(분류체계!$D$2:$D$16,MATCH($C96,분류체계!$A$2:$A$16,0)),"")</f>
        <v>경영관리본부 · 전략기획실</v>
      </c>
      <c r="E96" s="5" t="s">
        <v>24</v>
      </c>
      <c r="F96" s="5" t="s">
        <v>38</v>
      </c>
      <c r="G96" s="13"/>
      <c r="H96" s="4" t="s">
        <v>343</v>
      </c>
      <c r="I96" s="3">
        <v>1</v>
      </c>
      <c r="J96" s="5" t="s">
        <v>54</v>
      </c>
      <c r="K96" s="7" t="s">
        <v>344</v>
      </c>
      <c r="L96" s="8" t="s">
        <v>20</v>
      </c>
    </row>
    <row r="97" spans="1:12" ht="34.5" customHeight="1">
      <c r="A97" s="3" t="s">
        <v>345</v>
      </c>
      <c r="B97" s="4" t="s">
        <v>346</v>
      </c>
      <c r="C97" s="5" t="s">
        <v>54</v>
      </c>
      <c r="D97" s="6" t="str">
        <f>IFERROR(INDEX(분류체계!$D$2:$D$16,MATCH($C97,분류체계!$A$2:$A$16,0)),"")</f>
        <v>경영관리본부 · 전략기획실</v>
      </c>
      <c r="E97" s="5" t="s">
        <v>38</v>
      </c>
      <c r="F97" s="5" t="s">
        <v>28</v>
      </c>
      <c r="G97" s="13"/>
      <c r="H97" s="4" t="s">
        <v>347</v>
      </c>
      <c r="I97" s="3">
        <v>1</v>
      </c>
      <c r="J97" s="5" t="s">
        <v>54</v>
      </c>
      <c r="K97" s="7" t="s">
        <v>344</v>
      </c>
      <c r="L97" s="8" t="s">
        <v>20</v>
      </c>
    </row>
    <row r="98" spans="1:12" ht="34.5" customHeight="1">
      <c r="A98" s="3" t="s">
        <v>348</v>
      </c>
      <c r="B98" s="4" t="s">
        <v>349</v>
      </c>
      <c r="C98" s="5" t="s">
        <v>54</v>
      </c>
      <c r="D98" s="6" t="str">
        <f>IFERROR(INDEX(분류체계!$D$2:$D$16,MATCH($C98,분류체계!$A$2:$A$16,0)),"")</f>
        <v>경영관리본부 · 전략기획실</v>
      </c>
      <c r="E98" s="5" t="s">
        <v>162</v>
      </c>
      <c r="F98" s="5" t="s">
        <v>28</v>
      </c>
      <c r="G98" s="13"/>
      <c r="H98" s="4" t="s">
        <v>350</v>
      </c>
      <c r="I98" s="3">
        <v>2</v>
      </c>
      <c r="J98" s="5" t="s">
        <v>54</v>
      </c>
      <c r="K98" s="7" t="s">
        <v>344</v>
      </c>
      <c r="L98" s="8" t="s">
        <v>20</v>
      </c>
    </row>
    <row r="99" spans="1:12" ht="34.5" customHeight="1">
      <c r="A99" s="3" t="s">
        <v>351</v>
      </c>
      <c r="B99" s="4" t="s">
        <v>352</v>
      </c>
      <c r="C99" s="5" t="s">
        <v>54</v>
      </c>
      <c r="D99" s="6" t="str">
        <f>IFERROR(INDEX(분류체계!$D$2:$D$16,MATCH($C99,분류체계!$A$2:$A$16,0)),"")</f>
        <v>경영관리본부 · 전략기획실</v>
      </c>
      <c r="E99" s="5" t="s">
        <v>28</v>
      </c>
      <c r="F99" s="5" t="s">
        <v>38</v>
      </c>
      <c r="G99" s="13"/>
      <c r="H99" s="4" t="s">
        <v>353</v>
      </c>
      <c r="I99" s="3">
        <v>2</v>
      </c>
      <c r="J99" s="5" t="s">
        <v>54</v>
      </c>
      <c r="K99" s="7" t="s">
        <v>344</v>
      </c>
      <c r="L99" s="8" t="s">
        <v>20</v>
      </c>
    </row>
    <row r="100" spans="1:12" ht="34.5" customHeight="1">
      <c r="A100" s="3" t="s">
        <v>354</v>
      </c>
      <c r="B100" s="4" t="s">
        <v>355</v>
      </c>
      <c r="C100" s="5" t="s">
        <v>54</v>
      </c>
      <c r="D100" s="6" t="str">
        <f>IFERROR(INDEX(분류체계!$D$2:$D$16,MATCH($C100,분류체계!$A$2:$A$16,0)),"")</f>
        <v>경영관리본부 · 전략기획실</v>
      </c>
      <c r="E100" s="5" t="s">
        <v>49</v>
      </c>
      <c r="F100" s="5" t="s">
        <v>24</v>
      </c>
      <c r="G100" s="13"/>
      <c r="H100" s="4" t="s">
        <v>356</v>
      </c>
      <c r="I100" s="3">
        <v>3</v>
      </c>
      <c r="J100" s="5" t="s">
        <v>54</v>
      </c>
      <c r="K100" s="7" t="s">
        <v>344</v>
      </c>
      <c r="L100" s="8" t="s">
        <v>20</v>
      </c>
    </row>
    <row r="101" spans="1:12" ht="34.5" customHeight="1">
      <c r="A101" s="3" t="s">
        <v>357</v>
      </c>
      <c r="B101" s="4" t="s">
        <v>358</v>
      </c>
      <c r="C101" s="5" t="s">
        <v>54</v>
      </c>
      <c r="D101" s="6" t="str">
        <f>IFERROR(INDEX(분류체계!$D$2:$D$16,MATCH($C101,분류체계!$A$2:$A$16,0)),"")</f>
        <v>경영관리본부 · 전략기획실</v>
      </c>
      <c r="E101" s="5" t="s">
        <v>24</v>
      </c>
      <c r="F101" s="5" t="s">
        <v>15</v>
      </c>
      <c r="G101" s="13"/>
      <c r="H101" s="4" t="s">
        <v>359</v>
      </c>
      <c r="I101" s="3">
        <v>2</v>
      </c>
      <c r="J101" s="5" t="s">
        <v>54</v>
      </c>
      <c r="K101" s="7" t="s">
        <v>344</v>
      </c>
      <c r="L101" s="8" t="s">
        <v>20</v>
      </c>
    </row>
    <row r="102" spans="1:12" ht="34.5" customHeight="1">
      <c r="A102" s="3" t="s">
        <v>360</v>
      </c>
      <c r="B102" s="4" t="s">
        <v>361</v>
      </c>
      <c r="C102" s="5" t="s">
        <v>14</v>
      </c>
      <c r="D102" s="6" t="str">
        <f>IFERROR(INDEX(분류체계!$D$2:$D$16,MATCH($C102,분류체계!$A$2:$A$16,0)),"")</f>
        <v>분석플랫폼지원단 · 데이터관리실</v>
      </c>
      <c r="E102" s="5" t="s">
        <v>15</v>
      </c>
      <c r="F102" s="5" t="s">
        <v>16</v>
      </c>
      <c r="G102" s="13"/>
      <c r="H102" s="4" t="s">
        <v>362</v>
      </c>
      <c r="I102" s="3">
        <v>2</v>
      </c>
      <c r="J102" s="5" t="s">
        <v>18</v>
      </c>
      <c r="K102" s="7" t="s">
        <v>19</v>
      </c>
      <c r="L102" s="8" t="s">
        <v>20</v>
      </c>
    </row>
    <row r="103" spans="1:12" ht="34.5" customHeight="1">
      <c r="A103" s="3" t="s">
        <v>363</v>
      </c>
      <c r="B103" s="7" t="s">
        <v>364</v>
      </c>
      <c r="C103" s="5" t="s">
        <v>14</v>
      </c>
      <c r="D103" s="6" t="str">
        <f>IFERROR(INDEX(분류체계!$D$2:$D$16,MATCH($C103,분류체계!$A$2:$A$16,0)),"")</f>
        <v>분석플랫폼지원단 · 데이터관리실</v>
      </c>
      <c r="E103" s="5" t="s">
        <v>23</v>
      </c>
      <c r="F103" s="5" t="s">
        <v>24</v>
      </c>
      <c r="G103" s="13"/>
      <c r="H103" s="7" t="s">
        <v>365</v>
      </c>
      <c r="I103" s="3">
        <v>1</v>
      </c>
      <c r="J103" s="5" t="s">
        <v>18</v>
      </c>
      <c r="K103" s="7" t="s">
        <v>19</v>
      </c>
      <c r="L103" s="8" t="s">
        <v>20</v>
      </c>
    </row>
    <row r="104" spans="1:12" ht="34.5" customHeight="1">
      <c r="A104" s="3" t="s">
        <v>366</v>
      </c>
      <c r="B104" s="4" t="s">
        <v>367</v>
      </c>
      <c r="C104" s="5" t="s">
        <v>14</v>
      </c>
      <c r="D104" s="6" t="str">
        <f>IFERROR(INDEX(분류체계!$D$2:$D$16,MATCH($C104,분류체계!$A$2:$A$16,0)),"")</f>
        <v>분석플랫폼지원단 · 데이터관리실</v>
      </c>
      <c r="E104" s="5" t="s">
        <v>16</v>
      </c>
      <c r="F104" s="5" t="s">
        <v>15</v>
      </c>
      <c r="G104" s="13"/>
      <c r="H104" s="4" t="s">
        <v>368</v>
      </c>
      <c r="I104" s="3">
        <v>2</v>
      </c>
      <c r="J104" s="5" t="s">
        <v>18</v>
      </c>
      <c r="K104" s="7" t="s">
        <v>19</v>
      </c>
      <c r="L104" s="8" t="s">
        <v>20</v>
      </c>
    </row>
    <row r="105" spans="1:12" ht="34.5" customHeight="1">
      <c r="A105" s="3" t="s">
        <v>369</v>
      </c>
      <c r="B105" s="4" t="s">
        <v>370</v>
      </c>
      <c r="C105" s="5" t="s">
        <v>14</v>
      </c>
      <c r="D105" s="6" t="str">
        <f>IFERROR(INDEX(분류체계!$D$2:$D$16,MATCH($C105,분류체계!$A$2:$A$16,0)),"")</f>
        <v>분석플랫폼지원단 · 데이터관리실</v>
      </c>
      <c r="E105" s="5" t="s">
        <v>23</v>
      </c>
      <c r="F105" s="5" t="s">
        <v>42</v>
      </c>
      <c r="G105" s="13"/>
      <c r="H105" s="4" t="s">
        <v>371</v>
      </c>
      <c r="I105" s="3">
        <v>2</v>
      </c>
      <c r="J105" s="5" t="s">
        <v>18</v>
      </c>
      <c r="K105" s="7" t="s">
        <v>19</v>
      </c>
      <c r="L105" s="8" t="s">
        <v>20</v>
      </c>
    </row>
    <row r="106" spans="1:12" ht="34.5" customHeight="1">
      <c r="A106" s="3" t="s">
        <v>372</v>
      </c>
      <c r="B106" s="4" t="s">
        <v>373</v>
      </c>
      <c r="C106" s="5" t="s">
        <v>14</v>
      </c>
      <c r="D106" s="6" t="str">
        <f>IFERROR(INDEX(분류체계!$D$2:$D$16,MATCH($C106,분류체계!$A$2:$A$16,0)),"")</f>
        <v>분석플랫폼지원단 · 데이터관리실</v>
      </c>
      <c r="E106" s="5" t="s">
        <v>24</v>
      </c>
      <c r="F106" s="5" t="s">
        <v>23</v>
      </c>
      <c r="G106" s="13"/>
      <c r="H106" s="4" t="s">
        <v>374</v>
      </c>
      <c r="I106" s="3">
        <v>3</v>
      </c>
      <c r="J106" s="5" t="s">
        <v>18</v>
      </c>
      <c r="K106" s="7" t="s">
        <v>19</v>
      </c>
      <c r="L106" s="8" t="s">
        <v>20</v>
      </c>
    </row>
    <row r="107" spans="1:12" ht="34.5" customHeight="1">
      <c r="A107" s="3" t="s">
        <v>375</v>
      </c>
      <c r="B107" s="4" t="s">
        <v>376</v>
      </c>
      <c r="C107" s="5" t="s">
        <v>14</v>
      </c>
      <c r="D107" s="6" t="str">
        <f>IFERROR(INDEX(분류체계!$D$2:$D$16,MATCH($C107,분류체계!$A$2:$A$16,0)),"")</f>
        <v>분석플랫폼지원단 · 데이터관리실</v>
      </c>
      <c r="E107" s="5" t="s">
        <v>16</v>
      </c>
      <c r="F107" s="5" t="s">
        <v>49</v>
      </c>
      <c r="G107" s="13"/>
      <c r="H107" s="4" t="s">
        <v>377</v>
      </c>
      <c r="I107" s="3">
        <v>2</v>
      </c>
      <c r="J107" s="5" t="s">
        <v>18</v>
      </c>
      <c r="K107" s="7" t="s">
        <v>19</v>
      </c>
      <c r="L107" s="8" t="s">
        <v>20</v>
      </c>
    </row>
    <row r="108" spans="1:12" ht="34.5" customHeight="1">
      <c r="A108" s="3" t="s">
        <v>378</v>
      </c>
      <c r="B108" s="4" t="s">
        <v>379</v>
      </c>
      <c r="C108" s="5" t="s">
        <v>14</v>
      </c>
      <c r="D108" s="6" t="str">
        <f>IFERROR(INDEX(분류체계!$D$2:$D$16,MATCH($C108,분류체계!$A$2:$A$16,0)),"")</f>
        <v>분석플랫폼지원단 · 데이터관리실</v>
      </c>
      <c r="E108" s="5" t="s">
        <v>24</v>
      </c>
      <c r="F108" s="5" t="s">
        <v>38</v>
      </c>
      <c r="G108" s="13"/>
      <c r="H108" s="4" t="s">
        <v>380</v>
      </c>
      <c r="I108" s="3">
        <v>3</v>
      </c>
      <c r="J108" s="5" t="s">
        <v>18</v>
      </c>
      <c r="K108" s="7" t="s">
        <v>19</v>
      </c>
      <c r="L108" s="8" t="s">
        <v>20</v>
      </c>
    </row>
    <row r="109" spans="1:12" ht="34.5" customHeight="1">
      <c r="A109" s="3" t="s">
        <v>381</v>
      </c>
      <c r="B109" s="4" t="s">
        <v>382</v>
      </c>
      <c r="C109" s="5" t="s">
        <v>15</v>
      </c>
      <c r="D109" s="6" t="str">
        <f>IFERROR(INDEX(분류체계!$D$2:$D$16,MATCH($C109,분류체계!$A$2:$A$16,0)),"")</f>
        <v>정보활용본부 · IP정보확산실</v>
      </c>
      <c r="E109" s="5" t="s">
        <v>24</v>
      </c>
      <c r="F109" s="5" t="s">
        <v>16</v>
      </c>
      <c r="G109" s="13"/>
      <c r="H109" s="4" t="s">
        <v>383</v>
      </c>
      <c r="I109" s="3">
        <v>1</v>
      </c>
      <c r="J109" s="5" t="s">
        <v>18</v>
      </c>
      <c r="K109" s="7" t="s">
        <v>51</v>
      </c>
      <c r="L109" s="8" t="s">
        <v>20</v>
      </c>
    </row>
    <row r="110" spans="1:12" ht="34.5" customHeight="1">
      <c r="A110" s="3" t="s">
        <v>384</v>
      </c>
      <c r="B110" s="4" t="s">
        <v>385</v>
      </c>
      <c r="C110" s="5" t="s">
        <v>15</v>
      </c>
      <c r="D110" s="6" t="str">
        <f>IFERROR(INDEX(분류체계!$D$2:$D$16,MATCH($C110,분류체계!$A$2:$A$16,0)),"")</f>
        <v>정보활용본부 · IP정보확산실</v>
      </c>
      <c r="E110" s="5" t="s">
        <v>24</v>
      </c>
      <c r="F110" s="5" t="s">
        <v>14</v>
      </c>
      <c r="G110" s="13"/>
      <c r="H110" s="4" t="s">
        <v>386</v>
      </c>
      <c r="I110" s="3">
        <v>1</v>
      </c>
      <c r="J110" s="5" t="s">
        <v>18</v>
      </c>
      <c r="K110" s="7" t="s">
        <v>51</v>
      </c>
      <c r="L110" s="8" t="s">
        <v>20</v>
      </c>
    </row>
    <row r="111" spans="1:12" ht="34.5" customHeight="1">
      <c r="A111" s="3" t="s">
        <v>387</v>
      </c>
      <c r="B111" s="4" t="s">
        <v>388</v>
      </c>
      <c r="C111" s="5" t="s">
        <v>15</v>
      </c>
      <c r="D111" s="6" t="str">
        <f>IFERROR(INDEX(분류체계!$D$2:$D$16,MATCH($C111,분류체계!$A$2:$A$16,0)),"")</f>
        <v>정보활용본부 · IP정보확산실</v>
      </c>
      <c r="E111" s="5" t="s">
        <v>16</v>
      </c>
      <c r="F111" s="5" t="s">
        <v>85</v>
      </c>
      <c r="G111" s="13"/>
      <c r="H111" s="4" t="s">
        <v>389</v>
      </c>
      <c r="I111" s="3">
        <v>2</v>
      </c>
      <c r="J111" s="5" t="s">
        <v>18</v>
      </c>
      <c r="K111" s="7" t="s">
        <v>51</v>
      </c>
      <c r="L111" s="8" t="s">
        <v>20</v>
      </c>
    </row>
    <row r="112" spans="1:12" ht="34.5" customHeight="1">
      <c r="A112" s="3" t="s">
        <v>390</v>
      </c>
      <c r="B112" s="4" t="s">
        <v>391</v>
      </c>
      <c r="C112" s="5" t="s">
        <v>15</v>
      </c>
      <c r="D112" s="6" t="str">
        <f>IFERROR(INDEX(분류체계!$D$2:$D$16,MATCH($C112,분류체계!$A$2:$A$16,0)),"")</f>
        <v>정보활용본부 · IP정보확산실</v>
      </c>
      <c r="E112" s="5" t="s">
        <v>24</v>
      </c>
      <c r="F112" s="5" t="s">
        <v>16</v>
      </c>
      <c r="G112" s="13"/>
      <c r="H112" s="4" t="s">
        <v>392</v>
      </c>
      <c r="I112" s="3">
        <v>1</v>
      </c>
      <c r="J112" s="5" t="s">
        <v>18</v>
      </c>
      <c r="K112" s="7" t="s">
        <v>51</v>
      </c>
      <c r="L112" s="8" t="s">
        <v>20</v>
      </c>
    </row>
    <row r="113" spans="1:12" ht="34.5" customHeight="1">
      <c r="A113" s="3" t="s">
        <v>393</v>
      </c>
      <c r="B113" s="4" t="s">
        <v>394</v>
      </c>
      <c r="C113" s="5" t="s">
        <v>15</v>
      </c>
      <c r="D113" s="6" t="str">
        <f>IFERROR(INDEX(분류체계!$D$2:$D$16,MATCH($C113,분류체계!$A$2:$A$16,0)),"")</f>
        <v>정보활용본부 · IP정보확산실</v>
      </c>
      <c r="E113" s="5" t="s">
        <v>14</v>
      </c>
      <c r="F113" s="5" t="s">
        <v>24</v>
      </c>
      <c r="G113" s="13"/>
      <c r="H113" s="4" t="s">
        <v>395</v>
      </c>
      <c r="I113" s="3">
        <v>2</v>
      </c>
      <c r="J113" s="5" t="s">
        <v>18</v>
      </c>
      <c r="K113" s="7" t="s">
        <v>51</v>
      </c>
      <c r="L113" s="8" t="s">
        <v>20</v>
      </c>
    </row>
    <row r="114" spans="1:12" ht="34.5" customHeight="1">
      <c r="A114" s="3" t="s">
        <v>396</v>
      </c>
      <c r="B114" s="4" t="s">
        <v>397</v>
      </c>
      <c r="C114" s="5" t="s">
        <v>85</v>
      </c>
      <c r="D114" s="6" t="str">
        <f>IFERROR(INDEX(분류체계!$D$2:$D$16,MATCH($C114,분류체계!$A$2:$A$16,0)),"")</f>
        <v>지능정보화센터 · 지능정보데이터실</v>
      </c>
      <c r="E114" s="5" t="s">
        <v>16</v>
      </c>
      <c r="F114" s="5" t="s">
        <v>14</v>
      </c>
      <c r="G114" s="13"/>
      <c r="H114" s="4" t="s">
        <v>398</v>
      </c>
      <c r="I114" s="3">
        <v>3</v>
      </c>
      <c r="J114" s="5" t="s">
        <v>18</v>
      </c>
      <c r="K114" s="7" t="s">
        <v>87</v>
      </c>
      <c r="L114" s="8" t="s">
        <v>20</v>
      </c>
    </row>
    <row r="115" spans="1:12" ht="34.5" customHeight="1">
      <c r="A115" s="3" t="s">
        <v>399</v>
      </c>
      <c r="B115" s="4" t="s">
        <v>400</v>
      </c>
      <c r="C115" s="5" t="s">
        <v>85</v>
      </c>
      <c r="D115" s="6" t="str">
        <f>IFERROR(INDEX(분류체계!$D$2:$D$16,MATCH($C115,분류체계!$A$2:$A$16,0)),"")</f>
        <v>지능정보화센터 · 지능정보데이터실</v>
      </c>
      <c r="E115" s="5" t="s">
        <v>49</v>
      </c>
      <c r="F115" s="5" t="s">
        <v>16</v>
      </c>
      <c r="G115" s="13"/>
      <c r="H115" s="4" t="s">
        <v>401</v>
      </c>
      <c r="I115" s="3">
        <v>2</v>
      </c>
      <c r="J115" s="5" t="s">
        <v>18</v>
      </c>
      <c r="K115" s="7" t="s">
        <v>87</v>
      </c>
      <c r="L115" s="8" t="s">
        <v>20</v>
      </c>
    </row>
    <row r="116" spans="1:12" ht="34.5" customHeight="1">
      <c r="A116" s="3" t="s">
        <v>402</v>
      </c>
      <c r="B116" s="4" t="s">
        <v>403</v>
      </c>
      <c r="C116" s="5" t="s">
        <v>85</v>
      </c>
      <c r="D116" s="6" t="str">
        <f>IFERROR(INDEX(분류체계!$D$2:$D$16,MATCH($C116,분류체계!$A$2:$A$16,0)),"")</f>
        <v>지능정보화센터 · 지능정보데이터실</v>
      </c>
      <c r="E116" s="5" t="s">
        <v>15</v>
      </c>
      <c r="F116" s="5" t="s">
        <v>14</v>
      </c>
      <c r="G116" s="13"/>
      <c r="H116" s="4" t="s">
        <v>404</v>
      </c>
      <c r="I116" s="3">
        <v>3</v>
      </c>
      <c r="J116" s="5" t="s">
        <v>18</v>
      </c>
      <c r="K116" s="7" t="s">
        <v>87</v>
      </c>
      <c r="L116" s="8" t="s">
        <v>20</v>
      </c>
    </row>
    <row r="117" spans="1:12" ht="34.5" customHeight="1">
      <c r="A117" s="3" t="s">
        <v>405</v>
      </c>
      <c r="B117" s="7" t="s">
        <v>406</v>
      </c>
      <c r="C117" s="5" t="s">
        <v>85</v>
      </c>
      <c r="D117" s="6" t="str">
        <f>IFERROR(INDEX(분류체계!$D$2:$D$16,MATCH($C117,분류체계!$A$2:$A$16,0)),"")</f>
        <v>지능정보화센터 · 지능정보데이터실</v>
      </c>
      <c r="E117" s="5" t="s">
        <v>16</v>
      </c>
      <c r="F117" s="5" t="s">
        <v>49</v>
      </c>
      <c r="G117" s="13"/>
      <c r="H117" s="4" t="s">
        <v>407</v>
      </c>
      <c r="I117" s="3">
        <v>2</v>
      </c>
      <c r="J117" s="5" t="s">
        <v>18</v>
      </c>
      <c r="K117" s="7" t="s">
        <v>87</v>
      </c>
      <c r="L117" s="8" t="s">
        <v>20</v>
      </c>
    </row>
    <row r="118" spans="1:12" ht="34.5" customHeight="1">
      <c r="A118" s="3" t="s">
        <v>408</v>
      </c>
      <c r="B118" s="4" t="s">
        <v>409</v>
      </c>
      <c r="C118" s="5" t="s">
        <v>85</v>
      </c>
      <c r="D118" s="6" t="str">
        <f>IFERROR(INDEX(분류체계!$D$2:$D$16,MATCH($C118,분류체계!$A$2:$A$16,0)),"")</f>
        <v>지능정보화센터 · 지능정보데이터실</v>
      </c>
      <c r="E118" s="5" t="s">
        <v>49</v>
      </c>
      <c r="F118" s="5" t="s">
        <v>15</v>
      </c>
      <c r="G118" s="13"/>
      <c r="H118" s="4" t="s">
        <v>410</v>
      </c>
      <c r="I118" s="3">
        <v>2</v>
      </c>
      <c r="J118" s="5" t="s">
        <v>18</v>
      </c>
      <c r="K118" s="7" t="s">
        <v>87</v>
      </c>
      <c r="L118" s="8" t="s">
        <v>20</v>
      </c>
    </row>
    <row r="119" spans="1:12" ht="34.5" customHeight="1">
      <c r="A119" s="3" t="s">
        <v>411</v>
      </c>
      <c r="B119" s="7" t="s">
        <v>412</v>
      </c>
      <c r="C119" s="5" t="s">
        <v>85</v>
      </c>
      <c r="D119" s="6" t="str">
        <f>IFERROR(INDEX(분류체계!$D$2:$D$16,MATCH($C119,분류체계!$A$2:$A$16,0)),"")</f>
        <v>지능정보화센터 · 지능정보데이터실</v>
      </c>
      <c r="E119" s="5" t="s">
        <v>49</v>
      </c>
      <c r="F119" s="5" t="s">
        <v>15</v>
      </c>
      <c r="G119" s="13"/>
      <c r="H119" s="4" t="s">
        <v>413</v>
      </c>
      <c r="I119" s="3">
        <v>3</v>
      </c>
      <c r="J119" s="5" t="s">
        <v>18</v>
      </c>
      <c r="K119" s="7" t="s">
        <v>87</v>
      </c>
      <c r="L119" s="8" t="s">
        <v>20</v>
      </c>
    </row>
    <row r="120" spans="1:12" ht="34.5" customHeight="1">
      <c r="A120" s="3" t="s">
        <v>414</v>
      </c>
      <c r="B120" s="4" t="s">
        <v>415</v>
      </c>
      <c r="C120" s="5" t="s">
        <v>85</v>
      </c>
      <c r="D120" s="6" t="str">
        <f>IFERROR(INDEX(분류체계!$D$2:$D$16,MATCH($C120,분류체계!$A$2:$A$16,0)),"")</f>
        <v>지능정보화센터 · 지능정보데이터실</v>
      </c>
      <c r="E120" s="5" t="s">
        <v>14</v>
      </c>
      <c r="F120" s="5" t="s">
        <v>16</v>
      </c>
      <c r="G120" s="13"/>
      <c r="H120" s="4" t="s">
        <v>416</v>
      </c>
      <c r="I120" s="3">
        <v>1</v>
      </c>
      <c r="J120" s="5" t="s">
        <v>18</v>
      </c>
      <c r="K120" s="7" t="s">
        <v>87</v>
      </c>
      <c r="L120" s="8" t="s">
        <v>20</v>
      </c>
    </row>
    <row r="121" spans="1:12" ht="34.5" customHeight="1">
      <c r="A121" s="3" t="s">
        <v>417</v>
      </c>
      <c r="B121" s="7" t="s">
        <v>418</v>
      </c>
      <c r="C121" s="5" t="s">
        <v>42</v>
      </c>
      <c r="D121" s="6" t="str">
        <f>IFERROR(INDEX(분류체계!$D$2:$D$16,MATCH($C121,분류체계!$A$2:$A$16,0)),"")</f>
        <v>정보활용본부 · IP정보가공실</v>
      </c>
      <c r="E121" s="5" t="s">
        <v>111</v>
      </c>
      <c r="F121" s="5" t="s">
        <v>14</v>
      </c>
      <c r="G121" s="13"/>
      <c r="H121" s="4" t="s">
        <v>419</v>
      </c>
      <c r="I121" s="3">
        <v>3</v>
      </c>
      <c r="J121" s="5" t="s">
        <v>18</v>
      </c>
      <c r="K121" s="7" t="s">
        <v>113</v>
      </c>
      <c r="L121" s="8" t="s">
        <v>20</v>
      </c>
    </row>
    <row r="122" spans="1:12" ht="34.5" customHeight="1">
      <c r="A122" s="3" t="s">
        <v>420</v>
      </c>
      <c r="B122" s="4" t="s">
        <v>421</v>
      </c>
      <c r="C122" s="5" t="s">
        <v>42</v>
      </c>
      <c r="D122" s="6" t="str">
        <f>IFERROR(INDEX(분류체계!$D$2:$D$16,MATCH($C122,분류체계!$A$2:$A$16,0)),"")</f>
        <v>정보활용본부 · IP정보가공실</v>
      </c>
      <c r="E122" s="5" t="s">
        <v>111</v>
      </c>
      <c r="F122" s="5" t="s">
        <v>14</v>
      </c>
      <c r="G122" s="13"/>
      <c r="H122" s="4" t="s">
        <v>422</v>
      </c>
      <c r="I122" s="3">
        <v>3</v>
      </c>
      <c r="J122" s="5" t="s">
        <v>18</v>
      </c>
      <c r="K122" s="7" t="s">
        <v>113</v>
      </c>
      <c r="L122" s="8" t="s">
        <v>20</v>
      </c>
    </row>
    <row r="123" spans="1:12" ht="34.5" customHeight="1">
      <c r="A123" s="3" t="s">
        <v>423</v>
      </c>
      <c r="B123" s="7" t="s">
        <v>424</v>
      </c>
      <c r="C123" s="5" t="s">
        <v>42</v>
      </c>
      <c r="D123" s="6" t="str">
        <f>IFERROR(INDEX(분류체계!$D$2:$D$16,MATCH($C123,분류체계!$A$2:$A$16,0)),"")</f>
        <v>정보활용본부 · IP정보가공실</v>
      </c>
      <c r="E123" s="5" t="s">
        <v>15</v>
      </c>
      <c r="F123" s="5" t="s">
        <v>23</v>
      </c>
      <c r="G123" s="13"/>
      <c r="H123" s="4" t="s">
        <v>425</v>
      </c>
      <c r="I123" s="3">
        <v>2</v>
      </c>
      <c r="J123" s="5" t="s">
        <v>18</v>
      </c>
      <c r="K123" s="7" t="s">
        <v>113</v>
      </c>
      <c r="L123" s="8" t="s">
        <v>20</v>
      </c>
    </row>
    <row r="124" spans="1:12" ht="34.5" customHeight="1">
      <c r="A124" s="3" t="s">
        <v>426</v>
      </c>
      <c r="B124" s="4" t="s">
        <v>427</v>
      </c>
      <c r="C124" s="5" t="s">
        <v>42</v>
      </c>
      <c r="D124" s="6" t="str">
        <f>IFERROR(INDEX(분류체계!$D$2:$D$16,MATCH($C124,분류체계!$A$2:$A$16,0)),"")</f>
        <v>정보활용본부 · IP정보가공실</v>
      </c>
      <c r="E124" s="5" t="s">
        <v>24</v>
      </c>
      <c r="F124" s="5" t="s">
        <v>111</v>
      </c>
      <c r="G124" s="13"/>
      <c r="H124" s="4" t="s">
        <v>428</v>
      </c>
      <c r="I124" s="3">
        <v>2</v>
      </c>
      <c r="J124" s="5" t="s">
        <v>18</v>
      </c>
      <c r="K124" s="7" t="s">
        <v>113</v>
      </c>
      <c r="L124" s="8" t="s">
        <v>20</v>
      </c>
    </row>
    <row r="125" spans="1:12" ht="34.5" customHeight="1">
      <c r="A125" s="3" t="s">
        <v>429</v>
      </c>
      <c r="B125" s="4" t="s">
        <v>430</v>
      </c>
      <c r="C125" s="5" t="s">
        <v>42</v>
      </c>
      <c r="D125" s="6" t="str">
        <f>IFERROR(INDEX(분류체계!$D$2:$D$16,MATCH($C125,분류체계!$A$2:$A$16,0)),"")</f>
        <v>정보활용본부 · IP정보가공실</v>
      </c>
      <c r="E125" s="5" t="s">
        <v>14</v>
      </c>
      <c r="F125" s="5" t="s">
        <v>15</v>
      </c>
      <c r="G125" s="13"/>
      <c r="H125" s="4" t="s">
        <v>431</v>
      </c>
      <c r="I125" s="3">
        <v>2</v>
      </c>
      <c r="J125" s="5" t="s">
        <v>18</v>
      </c>
      <c r="K125" s="7" t="s">
        <v>113</v>
      </c>
      <c r="L125" s="8" t="s">
        <v>20</v>
      </c>
    </row>
    <row r="126" spans="1:12" ht="34.5" customHeight="1">
      <c r="A126" s="3" t="s">
        <v>432</v>
      </c>
      <c r="B126" s="4" t="s">
        <v>433</v>
      </c>
      <c r="C126" s="5" t="s">
        <v>42</v>
      </c>
      <c r="D126" s="6" t="str">
        <f>IFERROR(INDEX(분류체계!$D$2:$D$16,MATCH($C126,분류체계!$A$2:$A$16,0)),"")</f>
        <v>정보활용본부 · IP정보가공실</v>
      </c>
      <c r="E126" s="5" t="s">
        <v>111</v>
      </c>
      <c r="F126" s="5" t="s">
        <v>15</v>
      </c>
      <c r="G126" s="13"/>
      <c r="H126" s="4" t="s">
        <v>434</v>
      </c>
      <c r="I126" s="3">
        <v>1</v>
      </c>
      <c r="J126" s="5" t="s">
        <v>18</v>
      </c>
      <c r="K126" s="7" t="s">
        <v>113</v>
      </c>
      <c r="L126" s="8" t="s">
        <v>20</v>
      </c>
    </row>
    <row r="127" spans="1:12" ht="34.5" customHeight="1">
      <c r="A127" s="3" t="s">
        <v>435</v>
      </c>
      <c r="B127" s="4" t="s">
        <v>436</v>
      </c>
      <c r="C127" s="5" t="s">
        <v>42</v>
      </c>
      <c r="D127" s="6" t="str">
        <f>IFERROR(INDEX(분류체계!$D$2:$D$16,MATCH($C127,분류체계!$A$2:$A$16,0)),"")</f>
        <v>정보활용본부 · IP정보가공실</v>
      </c>
      <c r="E127" s="5" t="s">
        <v>23</v>
      </c>
      <c r="F127" s="5" t="s">
        <v>111</v>
      </c>
      <c r="G127" s="13"/>
      <c r="H127" s="4" t="s">
        <v>437</v>
      </c>
      <c r="I127" s="3">
        <v>2</v>
      </c>
      <c r="J127" s="5" t="s">
        <v>18</v>
      </c>
      <c r="K127" s="7" t="s">
        <v>113</v>
      </c>
      <c r="L127" s="8" t="s">
        <v>20</v>
      </c>
    </row>
    <row r="128" spans="1:12" ht="34.5" customHeight="1">
      <c r="A128" s="3" t="s">
        <v>438</v>
      </c>
      <c r="B128" s="4" t="s">
        <v>439</v>
      </c>
      <c r="C128" s="5" t="s">
        <v>42</v>
      </c>
      <c r="D128" s="6" t="str">
        <f>IFERROR(INDEX(분류체계!$D$2:$D$16,MATCH($C128,분류체계!$A$2:$A$16,0)),"")</f>
        <v>정보활용본부 · IP정보가공실</v>
      </c>
      <c r="E128" s="5" t="s">
        <v>111</v>
      </c>
      <c r="F128" s="5" t="s">
        <v>14</v>
      </c>
      <c r="G128" s="13"/>
      <c r="H128" s="4" t="s">
        <v>440</v>
      </c>
      <c r="I128" s="3">
        <v>2</v>
      </c>
      <c r="J128" s="5" t="s">
        <v>18</v>
      </c>
      <c r="K128" s="7" t="s">
        <v>113</v>
      </c>
      <c r="L128" s="8" t="s">
        <v>20</v>
      </c>
    </row>
    <row r="129" spans="1:12" ht="34.5" customHeight="1">
      <c r="A129" s="3" t="s">
        <v>441</v>
      </c>
      <c r="B129" s="4" t="s">
        <v>442</v>
      </c>
      <c r="C129" s="5" t="s">
        <v>42</v>
      </c>
      <c r="D129" s="6" t="str">
        <f>IFERROR(INDEX(분류체계!$D$2:$D$16,MATCH($C129,분류체계!$A$2:$A$16,0)),"")</f>
        <v>정보활용본부 · IP정보가공실</v>
      </c>
      <c r="E129" s="5" t="s">
        <v>14</v>
      </c>
      <c r="F129" s="5" t="s">
        <v>15</v>
      </c>
      <c r="G129" s="13"/>
      <c r="H129" s="4" t="s">
        <v>443</v>
      </c>
      <c r="I129" s="3">
        <v>2</v>
      </c>
      <c r="J129" s="5" t="s">
        <v>18</v>
      </c>
      <c r="K129" s="7" t="s">
        <v>113</v>
      </c>
      <c r="L129" s="8" t="s">
        <v>20</v>
      </c>
    </row>
    <row r="130" spans="1:12" ht="34.5" customHeight="1">
      <c r="A130" s="3" t="s">
        <v>444</v>
      </c>
      <c r="B130" s="4" t="s">
        <v>445</v>
      </c>
      <c r="C130" s="5" t="s">
        <v>131</v>
      </c>
      <c r="D130" s="6" t="str">
        <f>IFERROR(INDEX(분류체계!$D$2:$D$16,MATCH($C130,분류체계!$A$2:$A$16,0)),"")</f>
        <v>지능정보화센터 · 지능정보기술실</v>
      </c>
      <c r="E130" s="5" t="s">
        <v>38</v>
      </c>
      <c r="F130" s="5" t="s">
        <v>23</v>
      </c>
      <c r="G130" s="13"/>
      <c r="H130" s="4" t="s">
        <v>446</v>
      </c>
      <c r="I130" s="3">
        <v>3</v>
      </c>
      <c r="J130" s="5" t="s">
        <v>18</v>
      </c>
      <c r="K130" s="7" t="s">
        <v>137</v>
      </c>
      <c r="L130" s="8" t="s">
        <v>20</v>
      </c>
    </row>
    <row r="131" spans="1:12" ht="34.5" customHeight="1">
      <c r="A131" s="3" t="s">
        <v>447</v>
      </c>
      <c r="B131" s="4" t="s">
        <v>448</v>
      </c>
      <c r="C131" s="5" t="s">
        <v>111</v>
      </c>
      <c r="D131" s="6" t="str">
        <f>IFERROR(INDEX(분류체계!$D$2:$D$16,MATCH($C131,분류체계!$A$2:$A$16,0)),"")</f>
        <v>정보활용본부 · IP정보가공실</v>
      </c>
      <c r="E131" s="5" t="s">
        <v>42</v>
      </c>
      <c r="F131" s="5" t="s">
        <v>23</v>
      </c>
      <c r="G131" s="13"/>
      <c r="H131" s="4" t="s">
        <v>449</v>
      </c>
      <c r="I131" s="3">
        <v>2</v>
      </c>
      <c r="J131" s="5" t="s">
        <v>18</v>
      </c>
      <c r="K131" s="7" t="s">
        <v>133</v>
      </c>
      <c r="L131" s="8" t="s">
        <v>20</v>
      </c>
    </row>
    <row r="132" spans="1:12" ht="34.5" customHeight="1">
      <c r="A132" s="3" t="s">
        <v>450</v>
      </c>
      <c r="B132" s="4" t="s">
        <v>451</v>
      </c>
      <c r="C132" s="5" t="s">
        <v>111</v>
      </c>
      <c r="D132" s="6" t="str">
        <f>IFERROR(INDEX(분류체계!$D$2:$D$16,MATCH($C132,분류체계!$A$2:$A$16,0)),"")</f>
        <v>정보활용본부 · IP정보가공실</v>
      </c>
      <c r="E132" s="5" t="s">
        <v>23</v>
      </c>
      <c r="F132" s="5" t="s">
        <v>42</v>
      </c>
      <c r="G132" s="13"/>
      <c r="H132" s="7" t="s">
        <v>452</v>
      </c>
      <c r="I132" s="3">
        <v>3</v>
      </c>
      <c r="J132" s="5" t="s">
        <v>18</v>
      </c>
      <c r="K132" s="7" t="s">
        <v>133</v>
      </c>
      <c r="L132" s="8" t="s">
        <v>20</v>
      </c>
    </row>
    <row r="133" spans="1:12" ht="34.5" customHeight="1">
      <c r="A133" s="3" t="s">
        <v>453</v>
      </c>
      <c r="B133" s="4" t="s">
        <v>454</v>
      </c>
      <c r="C133" s="5" t="s">
        <v>131</v>
      </c>
      <c r="D133" s="6" t="str">
        <f>IFERROR(INDEX(분류체계!$D$2:$D$16,MATCH($C133,분류체계!$A$2:$A$16,0)),"")</f>
        <v>지능정보화센터 · 지능정보기술실</v>
      </c>
      <c r="E133" s="5" t="s">
        <v>24</v>
      </c>
      <c r="F133" s="5" t="s">
        <v>14</v>
      </c>
      <c r="G133" s="13"/>
      <c r="H133" s="4" t="s">
        <v>455</v>
      </c>
      <c r="I133" s="3">
        <v>2</v>
      </c>
      <c r="J133" s="5" t="s">
        <v>18</v>
      </c>
      <c r="K133" s="7" t="s">
        <v>137</v>
      </c>
      <c r="L133" s="8" t="s">
        <v>20</v>
      </c>
    </row>
    <row r="134" spans="1:12" ht="34.5" customHeight="1">
      <c r="A134" s="3" t="s">
        <v>456</v>
      </c>
      <c r="B134" s="4" t="s">
        <v>457</v>
      </c>
      <c r="C134" s="5" t="s">
        <v>111</v>
      </c>
      <c r="D134" s="6" t="str">
        <f>IFERROR(INDEX(분류체계!$D$2:$D$16,MATCH($C134,분류체계!$A$2:$A$16,0)),"")</f>
        <v>정보활용본부 · IP정보가공실</v>
      </c>
      <c r="E134" s="5" t="s">
        <v>131</v>
      </c>
      <c r="F134" s="5" t="s">
        <v>23</v>
      </c>
      <c r="G134" s="13"/>
      <c r="H134" s="4" t="s">
        <v>458</v>
      </c>
      <c r="I134" s="3">
        <v>3</v>
      </c>
      <c r="J134" s="5" t="s">
        <v>18</v>
      </c>
      <c r="K134" s="4" t="s">
        <v>133</v>
      </c>
      <c r="L134" s="8" t="s">
        <v>20</v>
      </c>
    </row>
    <row r="135" spans="1:12" ht="34.5" customHeight="1">
      <c r="A135" s="3" t="s">
        <v>459</v>
      </c>
      <c r="B135" s="4" t="s">
        <v>460</v>
      </c>
      <c r="C135" s="5" t="s">
        <v>131</v>
      </c>
      <c r="D135" s="6" t="str">
        <f>IFERROR(INDEX(분류체계!$D$2:$D$16,MATCH($C135,분류체계!$A$2:$A$16,0)),"")</f>
        <v>지능정보화센터 · 지능정보기술실</v>
      </c>
      <c r="E135" s="5" t="s">
        <v>38</v>
      </c>
      <c r="F135" s="5" t="s">
        <v>42</v>
      </c>
      <c r="G135" s="13"/>
      <c r="H135" s="4" t="s">
        <v>461</v>
      </c>
      <c r="I135" s="3">
        <v>2</v>
      </c>
      <c r="J135" s="5" t="s">
        <v>18</v>
      </c>
      <c r="K135" s="7" t="s">
        <v>137</v>
      </c>
      <c r="L135" s="8" t="s">
        <v>20</v>
      </c>
    </row>
    <row r="136" spans="1:12" ht="34.5" customHeight="1">
      <c r="A136" s="3" t="s">
        <v>462</v>
      </c>
      <c r="B136" s="4" t="s">
        <v>463</v>
      </c>
      <c r="C136" s="5" t="s">
        <v>131</v>
      </c>
      <c r="D136" s="6" t="str">
        <f>IFERROR(INDEX(분류체계!$D$2:$D$16,MATCH($C136,분류체계!$A$2:$A$16,0)),"")</f>
        <v>지능정보화센터 · 지능정보기술실</v>
      </c>
      <c r="E136" s="5" t="s">
        <v>42</v>
      </c>
      <c r="F136" s="5" t="s">
        <v>24</v>
      </c>
      <c r="G136" s="13"/>
      <c r="H136" s="4" t="s">
        <v>464</v>
      </c>
      <c r="I136" s="3">
        <v>1</v>
      </c>
      <c r="J136" s="5" t="s">
        <v>18</v>
      </c>
      <c r="K136" s="7" t="s">
        <v>137</v>
      </c>
      <c r="L136" s="8" t="s">
        <v>20</v>
      </c>
    </row>
    <row r="137" spans="1:12" ht="34.5" customHeight="1">
      <c r="A137" s="3" t="s">
        <v>465</v>
      </c>
      <c r="B137" s="4" t="s">
        <v>466</v>
      </c>
      <c r="C137" s="5" t="s">
        <v>24</v>
      </c>
      <c r="D137" s="6" t="str">
        <f>IFERROR(INDEX(분류체계!$D$2:$D$16,MATCH($C137,분류체계!$A$2:$A$16,0)),"")</f>
        <v>정보활용본부 · IP정보확산실</v>
      </c>
      <c r="E137" s="5" t="s">
        <v>14</v>
      </c>
      <c r="F137" s="5" t="s">
        <v>15</v>
      </c>
      <c r="G137" s="13"/>
      <c r="H137" s="7" t="s">
        <v>467</v>
      </c>
      <c r="I137" s="3">
        <v>2</v>
      </c>
      <c r="J137" s="5" t="s">
        <v>188</v>
      </c>
      <c r="K137" s="7" t="s">
        <v>208</v>
      </c>
      <c r="L137" s="8" t="s">
        <v>20</v>
      </c>
    </row>
    <row r="138" spans="1:12" ht="34.5" customHeight="1">
      <c r="A138" s="3" t="s">
        <v>468</v>
      </c>
      <c r="B138" s="7" t="s">
        <v>469</v>
      </c>
      <c r="C138" s="5" t="s">
        <v>24</v>
      </c>
      <c r="D138" s="6" t="str">
        <f>IFERROR(INDEX(분류체계!$D$2:$D$16,MATCH($C138,분류체계!$A$2:$A$16,0)),"")</f>
        <v>정보활용본부 · IP정보확산실</v>
      </c>
      <c r="E138" s="5" t="s">
        <v>162</v>
      </c>
      <c r="F138" s="5" t="s">
        <v>38</v>
      </c>
      <c r="G138" s="13"/>
      <c r="H138" s="4" t="s">
        <v>470</v>
      </c>
      <c r="I138" s="3">
        <v>3</v>
      </c>
      <c r="J138" s="5" t="s">
        <v>188</v>
      </c>
      <c r="K138" s="7" t="s">
        <v>208</v>
      </c>
      <c r="L138" s="8" t="s">
        <v>20</v>
      </c>
    </row>
    <row r="139" spans="1:12" ht="34.5" customHeight="1">
      <c r="A139" s="3" t="s">
        <v>471</v>
      </c>
      <c r="B139" s="7" t="s">
        <v>472</v>
      </c>
      <c r="C139" s="5" t="s">
        <v>24</v>
      </c>
      <c r="D139" s="6" t="str">
        <f>IFERROR(INDEX(분류체계!$D$2:$D$16,MATCH($C139,분류체계!$A$2:$A$16,0)),"")</f>
        <v>정보활용본부 · IP정보확산실</v>
      </c>
      <c r="E139" s="5" t="s">
        <v>14</v>
      </c>
      <c r="F139" s="5" t="s">
        <v>42</v>
      </c>
      <c r="G139" s="13"/>
      <c r="H139" s="7" t="s">
        <v>473</v>
      </c>
      <c r="I139" s="3">
        <v>2</v>
      </c>
      <c r="J139" s="5" t="s">
        <v>188</v>
      </c>
      <c r="K139" s="7" t="s">
        <v>208</v>
      </c>
      <c r="L139" s="8" t="s">
        <v>20</v>
      </c>
    </row>
    <row r="140" spans="1:12" ht="34.5" customHeight="1">
      <c r="A140" s="3" t="s">
        <v>474</v>
      </c>
      <c r="B140" s="4" t="s">
        <v>475</v>
      </c>
      <c r="C140" s="5" t="s">
        <v>24</v>
      </c>
      <c r="D140" s="6" t="str">
        <f>IFERROR(INDEX(분류체계!$D$2:$D$16,MATCH($C140,분류체계!$A$2:$A$16,0)),"")</f>
        <v>정보활용본부 · IP정보확산실</v>
      </c>
      <c r="E140" s="5" t="s">
        <v>14</v>
      </c>
      <c r="F140" s="5" t="s">
        <v>15</v>
      </c>
      <c r="G140" s="13"/>
      <c r="H140" s="7" t="s">
        <v>476</v>
      </c>
      <c r="I140" s="3">
        <v>2</v>
      </c>
      <c r="J140" s="5" t="s">
        <v>188</v>
      </c>
      <c r="K140" s="7" t="s">
        <v>208</v>
      </c>
      <c r="L140" s="8" t="s">
        <v>20</v>
      </c>
    </row>
    <row r="141" spans="1:12" ht="34.5" customHeight="1">
      <c r="A141" s="3" t="s">
        <v>477</v>
      </c>
      <c r="B141" s="4" t="s">
        <v>478</v>
      </c>
      <c r="C141" s="5" t="s">
        <v>24</v>
      </c>
      <c r="D141" s="6" t="str">
        <f>IFERROR(INDEX(분류체계!$D$2:$D$16,MATCH($C141,분류체계!$A$2:$A$16,0)),"")</f>
        <v>정보활용본부 · IP정보확산실</v>
      </c>
      <c r="E141" s="5" t="s">
        <v>14</v>
      </c>
      <c r="F141" s="5" t="s">
        <v>15</v>
      </c>
      <c r="G141" s="13"/>
      <c r="H141" s="4" t="s">
        <v>479</v>
      </c>
      <c r="I141" s="3">
        <v>2</v>
      </c>
      <c r="J141" s="5" t="s">
        <v>188</v>
      </c>
      <c r="K141" s="7" t="s">
        <v>208</v>
      </c>
      <c r="L141" s="8" t="s">
        <v>20</v>
      </c>
    </row>
    <row r="142" spans="1:12" ht="34.5" customHeight="1">
      <c r="A142" s="3" t="s">
        <v>480</v>
      </c>
      <c r="B142" s="7" t="s">
        <v>481</v>
      </c>
      <c r="C142" s="5" t="s">
        <v>24</v>
      </c>
      <c r="D142" s="6" t="str">
        <f>IFERROR(INDEX(분류체계!$D$2:$D$16,MATCH($C142,분류체계!$A$2:$A$16,0)),"")</f>
        <v>정보활용본부 · IP정보확산실</v>
      </c>
      <c r="E142" s="5" t="s">
        <v>23</v>
      </c>
      <c r="F142" s="5" t="s">
        <v>162</v>
      </c>
      <c r="G142" s="13"/>
      <c r="H142" s="4" t="s">
        <v>482</v>
      </c>
      <c r="I142" s="3">
        <v>2</v>
      </c>
      <c r="J142" s="5" t="s">
        <v>188</v>
      </c>
      <c r="K142" s="7" t="s">
        <v>208</v>
      </c>
      <c r="L142" s="8" t="s">
        <v>20</v>
      </c>
    </row>
    <row r="143" spans="1:12" ht="34.5" customHeight="1">
      <c r="A143" s="3" t="s">
        <v>483</v>
      </c>
      <c r="B143" s="4" t="s">
        <v>484</v>
      </c>
      <c r="C143" s="5" t="s">
        <v>24</v>
      </c>
      <c r="D143" s="6" t="str">
        <f>IFERROR(INDEX(분류체계!$D$2:$D$16,MATCH($C143,분류체계!$A$2:$A$16,0)),"")</f>
        <v>정보활용본부 · IP정보확산실</v>
      </c>
      <c r="E143" s="5" t="s">
        <v>16</v>
      </c>
      <c r="F143" s="5" t="s">
        <v>14</v>
      </c>
      <c r="G143" s="13"/>
      <c r="H143" s="4" t="s">
        <v>485</v>
      </c>
      <c r="I143" s="3">
        <v>2</v>
      </c>
      <c r="J143" s="5" t="s">
        <v>188</v>
      </c>
      <c r="K143" s="7" t="s">
        <v>208</v>
      </c>
      <c r="L143" s="8" t="s">
        <v>20</v>
      </c>
    </row>
    <row r="144" spans="1:12" ht="34.5" customHeight="1">
      <c r="A144" s="3" t="s">
        <v>486</v>
      </c>
      <c r="B144" s="7" t="s">
        <v>487</v>
      </c>
      <c r="C144" s="13" t="s">
        <v>81</v>
      </c>
      <c r="D144" s="6" t="str">
        <f>IFERROR(INDEX(분류체계!$D$2:$D$16,MATCH($C144,분류체계!$A$2:$A$16,0)),"")</f>
        <v>정보시스템본부 · IP시스템기반실</v>
      </c>
      <c r="E144" s="5" t="s">
        <v>16</v>
      </c>
      <c r="F144" s="5" t="s">
        <v>24</v>
      </c>
      <c r="G144" s="13"/>
      <c r="H144" s="4" t="s">
        <v>488</v>
      </c>
      <c r="I144" s="3">
        <v>1</v>
      </c>
      <c r="J144" s="5" t="s">
        <v>188</v>
      </c>
      <c r="K144" s="7" t="s">
        <v>189</v>
      </c>
      <c r="L144" s="8" t="s">
        <v>20</v>
      </c>
    </row>
    <row r="145" spans="1:12" ht="34.5" customHeight="1">
      <c r="A145" s="3" t="s">
        <v>489</v>
      </c>
      <c r="B145" s="4" t="s">
        <v>490</v>
      </c>
      <c r="C145" s="13" t="s">
        <v>81</v>
      </c>
      <c r="D145" s="6" t="str">
        <f>IFERROR(INDEX(분류체계!$D$2:$D$16,MATCH($C145,분류체계!$A$2:$A$16,0)),"")</f>
        <v>정보시스템본부 · IP시스템기반실</v>
      </c>
      <c r="E145" s="5" t="s">
        <v>16</v>
      </c>
      <c r="F145" s="5" t="s">
        <v>24</v>
      </c>
      <c r="G145" s="13"/>
      <c r="H145" s="7" t="s">
        <v>491</v>
      </c>
      <c r="I145" s="3">
        <v>3</v>
      </c>
      <c r="J145" s="5" t="s">
        <v>188</v>
      </c>
      <c r="K145" s="7" t="s">
        <v>189</v>
      </c>
      <c r="L145" s="8" t="s">
        <v>20</v>
      </c>
    </row>
    <row r="146" spans="1:12" ht="34.5" customHeight="1">
      <c r="A146" s="3" t="s">
        <v>492</v>
      </c>
      <c r="B146" s="7" t="s">
        <v>493</v>
      </c>
      <c r="C146" s="13" t="s">
        <v>81</v>
      </c>
      <c r="D146" s="6" t="str">
        <f>IFERROR(INDEX(분류체계!$D$2:$D$16,MATCH($C146,분류체계!$A$2:$A$16,0)),"")</f>
        <v>정보시스템본부 · IP시스템기반실</v>
      </c>
      <c r="E146" s="5" t="s">
        <v>24</v>
      </c>
      <c r="F146" s="5" t="s">
        <v>16</v>
      </c>
      <c r="G146" s="13"/>
      <c r="H146" s="4" t="s">
        <v>494</v>
      </c>
      <c r="I146" s="3">
        <v>2</v>
      </c>
      <c r="J146" s="5" t="s">
        <v>188</v>
      </c>
      <c r="K146" s="7" t="s">
        <v>189</v>
      </c>
      <c r="L146" s="8" t="s">
        <v>20</v>
      </c>
    </row>
    <row r="147" spans="1:12" ht="34.5" customHeight="1">
      <c r="A147" s="3" t="s">
        <v>495</v>
      </c>
      <c r="B147" s="4" t="s">
        <v>496</v>
      </c>
      <c r="C147" s="13" t="s">
        <v>81</v>
      </c>
      <c r="D147" s="6" t="str">
        <f>IFERROR(INDEX(분류체계!$D$2:$D$16,MATCH($C147,분류체계!$A$2:$A$16,0)),"")</f>
        <v>정보시스템본부 · IP시스템기반실</v>
      </c>
      <c r="E147" s="5" t="s">
        <v>16</v>
      </c>
      <c r="F147" s="5" t="s">
        <v>49</v>
      </c>
      <c r="G147" s="13"/>
      <c r="H147" s="4" t="s">
        <v>497</v>
      </c>
      <c r="I147" s="3">
        <v>2</v>
      </c>
      <c r="J147" s="5" t="s">
        <v>188</v>
      </c>
      <c r="K147" s="7" t="s">
        <v>189</v>
      </c>
      <c r="L147" s="8" t="s">
        <v>20</v>
      </c>
    </row>
    <row r="148" spans="1:12" ht="34.5" customHeight="1">
      <c r="A148" s="3" t="s">
        <v>498</v>
      </c>
      <c r="B148" s="4" t="s">
        <v>499</v>
      </c>
      <c r="C148" s="13" t="s">
        <v>81</v>
      </c>
      <c r="D148" s="6" t="str">
        <f>IFERROR(INDEX(분류체계!$D$2:$D$16,MATCH($C148,분류체계!$A$2:$A$16,0)),"")</f>
        <v>정보시스템본부 · IP시스템기반실</v>
      </c>
      <c r="E148" s="5" t="s">
        <v>16</v>
      </c>
      <c r="F148" s="5" t="s">
        <v>24</v>
      </c>
      <c r="G148" s="13"/>
      <c r="H148" s="4" t="s">
        <v>500</v>
      </c>
      <c r="I148" s="3">
        <v>2</v>
      </c>
      <c r="J148" s="5" t="s">
        <v>188</v>
      </c>
      <c r="K148" s="7" t="s">
        <v>189</v>
      </c>
      <c r="L148" s="8" t="s">
        <v>20</v>
      </c>
    </row>
    <row r="149" spans="1:12" ht="34.5" customHeight="1">
      <c r="A149" s="3" t="s">
        <v>501</v>
      </c>
      <c r="B149" s="4" t="s">
        <v>502</v>
      </c>
      <c r="C149" s="13" t="s">
        <v>81</v>
      </c>
      <c r="D149" s="6" t="str">
        <f>IFERROR(INDEX(분류체계!$D$2:$D$16,MATCH($C149,분류체계!$A$2:$A$16,0)),"")</f>
        <v>정보시스템본부 · IP시스템기반실</v>
      </c>
      <c r="E149" s="5" t="s">
        <v>16</v>
      </c>
      <c r="F149" s="5" t="s">
        <v>38</v>
      </c>
      <c r="G149" s="13"/>
      <c r="H149" s="4" t="s">
        <v>503</v>
      </c>
      <c r="I149" s="3">
        <v>2</v>
      </c>
      <c r="J149" s="5" t="s">
        <v>188</v>
      </c>
      <c r="K149" s="7" t="s">
        <v>189</v>
      </c>
      <c r="L149" s="8" t="s">
        <v>20</v>
      </c>
    </row>
    <row r="150" spans="1:12" ht="34.5" customHeight="1">
      <c r="A150" s="3" t="s">
        <v>504</v>
      </c>
      <c r="B150" s="4" t="s">
        <v>505</v>
      </c>
      <c r="C150" s="13" t="s">
        <v>81</v>
      </c>
      <c r="D150" s="6" t="str">
        <f>IFERROR(INDEX(분류체계!$D$2:$D$16,MATCH($C150,분류체계!$A$2:$A$16,0)),"")</f>
        <v>정보시스템본부 · IP시스템기반실</v>
      </c>
      <c r="E150" s="5" t="s">
        <v>16</v>
      </c>
      <c r="F150" s="5" t="s">
        <v>14</v>
      </c>
      <c r="G150" s="13"/>
      <c r="H150" s="4" t="s">
        <v>506</v>
      </c>
      <c r="I150" s="3">
        <v>2</v>
      </c>
      <c r="J150" s="5" t="s">
        <v>188</v>
      </c>
      <c r="K150" s="7" t="s">
        <v>189</v>
      </c>
      <c r="L150" s="8" t="s">
        <v>20</v>
      </c>
    </row>
    <row r="151" spans="1:12" ht="34.5" customHeight="1">
      <c r="A151" s="3" t="s">
        <v>507</v>
      </c>
      <c r="B151" s="7" t="s">
        <v>508</v>
      </c>
      <c r="C151" s="13" t="s">
        <v>81</v>
      </c>
      <c r="D151" s="6" t="str">
        <f>IFERROR(INDEX(분류체계!$D$2:$D$16,MATCH($C151,분류체계!$A$2:$A$16,0)),"")</f>
        <v>정보시스템본부 · IP시스템기반실</v>
      </c>
      <c r="E151" s="5" t="s">
        <v>49</v>
      </c>
      <c r="F151" s="5" t="s">
        <v>16</v>
      </c>
      <c r="G151" s="13"/>
      <c r="H151" s="4" t="s">
        <v>509</v>
      </c>
      <c r="I151" s="3">
        <v>2</v>
      </c>
      <c r="J151" s="5" t="s">
        <v>188</v>
      </c>
      <c r="K151" s="7" t="s">
        <v>189</v>
      </c>
      <c r="L151" s="8" t="s">
        <v>20</v>
      </c>
    </row>
    <row r="152" spans="1:12" ht="34.5" customHeight="1">
      <c r="A152" s="3" t="s">
        <v>510</v>
      </c>
      <c r="B152" s="7" t="s">
        <v>511</v>
      </c>
      <c r="C152" s="13" t="s">
        <v>81</v>
      </c>
      <c r="D152" s="6" t="str">
        <f>IFERROR(INDEX(분류체계!$D$2:$D$16,MATCH($C152,분류체계!$A$2:$A$16,0)),"")</f>
        <v>정보시스템본부 · IP시스템기반실</v>
      </c>
      <c r="E152" s="5" t="s">
        <v>16</v>
      </c>
      <c r="F152" s="5" t="s">
        <v>15</v>
      </c>
      <c r="G152" s="13"/>
      <c r="H152" s="4" t="s">
        <v>512</v>
      </c>
      <c r="I152" s="3">
        <v>2</v>
      </c>
      <c r="J152" s="5" t="s">
        <v>188</v>
      </c>
      <c r="K152" s="7" t="s">
        <v>189</v>
      </c>
      <c r="L152" s="8" t="s">
        <v>20</v>
      </c>
    </row>
    <row r="153" spans="1:12" ht="34.5" customHeight="1">
      <c r="A153" s="3" t="s">
        <v>513</v>
      </c>
      <c r="B153" s="4" t="s">
        <v>514</v>
      </c>
      <c r="C153" s="5" t="s">
        <v>162</v>
      </c>
      <c r="D153" s="6" t="str">
        <f>IFERROR(INDEX(분류체계!$D$2:$D$16,MATCH($C153,분류체계!$A$2:$A$16,0)),"")</f>
        <v>정보활용본부 · IP정보확산실</v>
      </c>
      <c r="E153" s="5" t="s">
        <v>23</v>
      </c>
      <c r="F153" s="5" t="s">
        <v>24</v>
      </c>
      <c r="G153" s="13"/>
      <c r="H153" s="4" t="s">
        <v>515</v>
      </c>
      <c r="I153" s="3">
        <v>2</v>
      </c>
      <c r="J153" s="5" t="s">
        <v>188</v>
      </c>
      <c r="K153" s="7" t="s">
        <v>234</v>
      </c>
      <c r="L153" s="8" t="s">
        <v>20</v>
      </c>
    </row>
    <row r="154" spans="1:12" ht="34.5" customHeight="1">
      <c r="A154" s="3" t="s">
        <v>516</v>
      </c>
      <c r="B154" s="4" t="s">
        <v>517</v>
      </c>
      <c r="C154" s="5" t="s">
        <v>162</v>
      </c>
      <c r="D154" s="6" t="str">
        <f>IFERROR(INDEX(분류체계!$D$2:$D$16,MATCH($C154,분류체계!$A$2:$A$16,0)),"")</f>
        <v>정보활용본부 · IP정보확산실</v>
      </c>
      <c r="E154" s="5" t="s">
        <v>23</v>
      </c>
      <c r="F154" s="5" t="s">
        <v>24</v>
      </c>
      <c r="G154" s="13"/>
      <c r="H154" s="4" t="s">
        <v>518</v>
      </c>
      <c r="I154" s="3">
        <v>3</v>
      </c>
      <c r="J154" s="5" t="s">
        <v>188</v>
      </c>
      <c r="K154" s="7" t="s">
        <v>234</v>
      </c>
      <c r="L154" s="8" t="s">
        <v>20</v>
      </c>
    </row>
    <row r="155" spans="1:12" ht="34.5" customHeight="1">
      <c r="A155" s="3" t="s">
        <v>519</v>
      </c>
      <c r="B155" s="4" t="s">
        <v>520</v>
      </c>
      <c r="C155" s="5" t="s">
        <v>162</v>
      </c>
      <c r="D155" s="6" t="str">
        <f>IFERROR(INDEX(분류체계!$D$2:$D$16,MATCH($C155,분류체계!$A$2:$A$16,0)),"")</f>
        <v>정보활용본부 · IP정보확산실</v>
      </c>
      <c r="E155" s="5" t="s">
        <v>24</v>
      </c>
      <c r="F155" s="5" t="s">
        <v>23</v>
      </c>
      <c r="G155" s="13"/>
      <c r="H155" s="7" t="s">
        <v>521</v>
      </c>
      <c r="I155" s="3">
        <v>3</v>
      </c>
      <c r="J155" s="5" t="s">
        <v>188</v>
      </c>
      <c r="K155" s="7" t="s">
        <v>234</v>
      </c>
      <c r="L155" s="8" t="s">
        <v>20</v>
      </c>
    </row>
    <row r="156" spans="1:12" ht="34.5" customHeight="1">
      <c r="A156" s="3" t="s">
        <v>522</v>
      </c>
      <c r="B156" s="7" t="s">
        <v>523</v>
      </c>
      <c r="C156" s="5" t="s">
        <v>162</v>
      </c>
      <c r="D156" s="6" t="str">
        <f>IFERROR(INDEX(분류체계!$D$2:$D$16,MATCH($C156,분류체계!$A$2:$A$16,0)),"")</f>
        <v>정보활용본부 · IP정보확산실</v>
      </c>
      <c r="E156" s="5" t="s">
        <v>24</v>
      </c>
      <c r="F156" s="5" t="s">
        <v>38</v>
      </c>
      <c r="G156" s="13"/>
      <c r="H156" s="4" t="s">
        <v>524</v>
      </c>
      <c r="I156" s="3">
        <v>2</v>
      </c>
      <c r="J156" s="5" t="s">
        <v>188</v>
      </c>
      <c r="K156" s="7" t="s">
        <v>234</v>
      </c>
      <c r="L156" s="8" t="s">
        <v>20</v>
      </c>
    </row>
    <row r="157" spans="1:12" ht="34.5" customHeight="1">
      <c r="A157" s="3" t="s">
        <v>525</v>
      </c>
      <c r="B157" s="4" t="s">
        <v>526</v>
      </c>
      <c r="C157" s="5" t="s">
        <v>162</v>
      </c>
      <c r="D157" s="6" t="str">
        <f>IFERROR(INDEX(분류체계!$D$2:$D$16,MATCH($C157,분류체계!$A$2:$A$16,0)),"")</f>
        <v>정보활용본부 · IP정보확산실</v>
      </c>
      <c r="E157" s="5" t="s">
        <v>24</v>
      </c>
      <c r="F157" s="5" t="s">
        <v>23</v>
      </c>
      <c r="G157" s="13"/>
      <c r="H157" s="4" t="s">
        <v>527</v>
      </c>
      <c r="I157" s="3">
        <v>1</v>
      </c>
      <c r="J157" s="5" t="s">
        <v>188</v>
      </c>
      <c r="K157" s="7" t="s">
        <v>234</v>
      </c>
      <c r="L157" s="8" t="s">
        <v>20</v>
      </c>
    </row>
    <row r="158" spans="1:12" ht="34.5" customHeight="1">
      <c r="A158" s="3" t="s">
        <v>528</v>
      </c>
      <c r="B158" s="4" t="s">
        <v>529</v>
      </c>
      <c r="C158" s="5" t="s">
        <v>162</v>
      </c>
      <c r="D158" s="6" t="str">
        <f>IFERROR(INDEX(분류체계!$D$2:$D$16,MATCH($C158,분류체계!$A$2:$A$16,0)),"")</f>
        <v>정보활용본부 · IP정보확산실</v>
      </c>
      <c r="E158" s="5" t="s">
        <v>38</v>
      </c>
      <c r="F158" s="5" t="s">
        <v>23</v>
      </c>
      <c r="G158" s="13"/>
      <c r="H158" s="4" t="s">
        <v>530</v>
      </c>
      <c r="I158" s="3">
        <v>1</v>
      </c>
      <c r="J158" s="5" t="s">
        <v>188</v>
      </c>
      <c r="K158" s="7" t="s">
        <v>234</v>
      </c>
      <c r="L158" s="8" t="s">
        <v>20</v>
      </c>
    </row>
    <row r="159" spans="1:12" ht="34.5" customHeight="1">
      <c r="A159" s="3" t="s">
        <v>531</v>
      </c>
      <c r="B159" s="7" t="s">
        <v>532</v>
      </c>
      <c r="C159" s="5" t="s">
        <v>162</v>
      </c>
      <c r="D159" s="6" t="str">
        <f>IFERROR(INDEX(분류체계!$D$2:$D$16,MATCH($C159,분류체계!$A$2:$A$16,0)),"")</f>
        <v>정보활용본부 · IP정보확산실</v>
      </c>
      <c r="E159" s="5" t="s">
        <v>38</v>
      </c>
      <c r="F159" s="5" t="s">
        <v>23</v>
      </c>
      <c r="G159" s="13"/>
      <c r="H159" s="7" t="s">
        <v>533</v>
      </c>
      <c r="I159" s="3">
        <v>3</v>
      </c>
      <c r="J159" s="5" t="s">
        <v>188</v>
      </c>
      <c r="K159" s="7" t="s">
        <v>234</v>
      </c>
      <c r="L159" s="8" t="s">
        <v>20</v>
      </c>
    </row>
    <row r="160" spans="1:12" ht="34.5" customHeight="1">
      <c r="A160" s="3" t="s">
        <v>534</v>
      </c>
      <c r="B160" s="4" t="s">
        <v>535</v>
      </c>
      <c r="C160" s="5" t="s">
        <v>162</v>
      </c>
      <c r="D160" s="6" t="str">
        <f>IFERROR(INDEX(분류체계!$D$2:$D$16,MATCH($C160,분류체계!$A$2:$A$16,0)),"")</f>
        <v>정보활용본부 · IP정보확산실</v>
      </c>
      <c r="E160" s="5" t="s">
        <v>49</v>
      </c>
      <c r="F160" s="5" t="s">
        <v>24</v>
      </c>
      <c r="G160" s="13"/>
      <c r="H160" s="4" t="s">
        <v>536</v>
      </c>
      <c r="I160" s="3">
        <v>2</v>
      </c>
      <c r="J160" s="5" t="s">
        <v>188</v>
      </c>
      <c r="K160" s="7" t="s">
        <v>234</v>
      </c>
      <c r="L160" s="8" t="s">
        <v>20</v>
      </c>
    </row>
    <row r="161" spans="1:12" ht="34.5" customHeight="1">
      <c r="A161" s="3" t="s">
        <v>537</v>
      </c>
      <c r="B161" s="4" t="s">
        <v>538</v>
      </c>
      <c r="C161" s="5" t="s">
        <v>162</v>
      </c>
      <c r="D161" s="6" t="str">
        <f>IFERROR(INDEX(분류체계!$D$2:$D$16,MATCH($C161,분류체계!$A$2:$A$16,0)),"")</f>
        <v>정보활용본부 · IP정보확산실</v>
      </c>
      <c r="E161" s="5" t="s">
        <v>49</v>
      </c>
      <c r="F161" s="5" t="s">
        <v>15</v>
      </c>
      <c r="G161" s="13"/>
      <c r="H161" s="4" t="s">
        <v>539</v>
      </c>
      <c r="I161" s="3">
        <v>1</v>
      </c>
      <c r="J161" s="5" t="s">
        <v>188</v>
      </c>
      <c r="K161" s="7" t="s">
        <v>234</v>
      </c>
      <c r="L161" s="8" t="s">
        <v>20</v>
      </c>
    </row>
    <row r="162" spans="1:12" ht="34.5" customHeight="1">
      <c r="A162" s="3" t="s">
        <v>540</v>
      </c>
      <c r="B162" s="4" t="s">
        <v>541</v>
      </c>
      <c r="C162" s="5" t="s">
        <v>162</v>
      </c>
      <c r="D162" s="6" t="str">
        <f>IFERROR(INDEX(분류체계!$D$2:$D$16,MATCH($C162,분류체계!$A$2:$A$16,0)),"")</f>
        <v>정보활용본부 · IP정보확산실</v>
      </c>
      <c r="E162" s="5" t="s">
        <v>38</v>
      </c>
      <c r="F162" s="5" t="s">
        <v>54</v>
      </c>
      <c r="G162" s="13"/>
      <c r="H162" s="4" t="s">
        <v>542</v>
      </c>
      <c r="I162" s="3">
        <v>1</v>
      </c>
      <c r="J162" s="5" t="s">
        <v>188</v>
      </c>
      <c r="K162" s="7" t="s">
        <v>234</v>
      </c>
      <c r="L162" s="8" t="s">
        <v>20</v>
      </c>
    </row>
    <row r="163" spans="1:12" ht="34.5" customHeight="1">
      <c r="A163" s="3" t="s">
        <v>543</v>
      </c>
      <c r="B163" s="4" t="s">
        <v>544</v>
      </c>
      <c r="C163" s="5" t="s">
        <v>38</v>
      </c>
      <c r="D163" s="6" t="str">
        <f>IFERROR(INDEX(분류체계!$D$2:$D$16,MATCH($C163,분류체계!$A$2:$A$16,0)),"")</f>
        <v>지능정보화센터 · 지능정보전략실</v>
      </c>
      <c r="E163" s="5" t="s">
        <v>14</v>
      </c>
      <c r="F163" s="5" t="s">
        <v>24</v>
      </c>
      <c r="G163" s="13"/>
      <c r="H163" s="4" t="s">
        <v>265</v>
      </c>
      <c r="I163" s="3">
        <v>2</v>
      </c>
      <c r="J163" s="5" t="s">
        <v>188</v>
      </c>
      <c r="K163" s="7" t="s">
        <v>250</v>
      </c>
      <c r="L163" s="8" t="s">
        <v>20</v>
      </c>
    </row>
    <row r="164" spans="1:12" ht="34.5" customHeight="1">
      <c r="A164" s="3" t="s">
        <v>545</v>
      </c>
      <c r="B164" s="4" t="s">
        <v>546</v>
      </c>
      <c r="C164" s="5" t="s">
        <v>38</v>
      </c>
      <c r="D164" s="6" t="str">
        <f>IFERROR(INDEX(분류체계!$D$2:$D$16,MATCH($C164,분류체계!$A$2:$A$16,0)),"")</f>
        <v>지능정보화센터 · 지능정보전략실</v>
      </c>
      <c r="E164" s="5" t="s">
        <v>14</v>
      </c>
      <c r="F164" s="5" t="s">
        <v>24</v>
      </c>
      <c r="G164" s="13"/>
      <c r="H164" s="4" t="s">
        <v>547</v>
      </c>
      <c r="I164" s="3">
        <v>2</v>
      </c>
      <c r="J164" s="5" t="s">
        <v>188</v>
      </c>
      <c r="K164" s="7" t="s">
        <v>250</v>
      </c>
      <c r="L164" s="8" t="s">
        <v>20</v>
      </c>
    </row>
    <row r="165" spans="1:12" ht="34.5" customHeight="1">
      <c r="A165" s="3" t="s">
        <v>548</v>
      </c>
      <c r="B165" s="4" t="s">
        <v>549</v>
      </c>
      <c r="C165" s="5" t="s">
        <v>38</v>
      </c>
      <c r="D165" s="6" t="str">
        <f>IFERROR(INDEX(분류체계!$D$2:$D$16,MATCH($C165,분류체계!$A$2:$A$16,0)),"")</f>
        <v>지능정보화센터 · 지능정보전략실</v>
      </c>
      <c r="E165" s="5" t="s">
        <v>131</v>
      </c>
      <c r="F165" s="5" t="s">
        <v>14</v>
      </c>
      <c r="G165" s="13"/>
      <c r="H165" s="4" t="s">
        <v>550</v>
      </c>
      <c r="I165" s="3">
        <v>3</v>
      </c>
      <c r="J165" s="5" t="s">
        <v>188</v>
      </c>
      <c r="K165" s="7" t="s">
        <v>250</v>
      </c>
      <c r="L165" s="8" t="s">
        <v>20</v>
      </c>
    </row>
    <row r="166" spans="1:12" ht="34.5" customHeight="1">
      <c r="A166" s="3" t="s">
        <v>551</v>
      </c>
      <c r="B166" s="4" t="s">
        <v>552</v>
      </c>
      <c r="C166" s="5" t="s">
        <v>38</v>
      </c>
      <c r="D166" s="6" t="str">
        <f>IFERROR(INDEX(분류체계!$D$2:$D$16,MATCH($C166,분류체계!$A$2:$A$16,0)),"")</f>
        <v>지능정보화센터 · 지능정보전략실</v>
      </c>
      <c r="E166" s="5" t="s">
        <v>14</v>
      </c>
      <c r="F166" s="5" t="s">
        <v>24</v>
      </c>
      <c r="G166" s="13"/>
      <c r="H166" s="4" t="s">
        <v>553</v>
      </c>
      <c r="I166" s="3">
        <v>2</v>
      </c>
      <c r="J166" s="5" t="s">
        <v>188</v>
      </c>
      <c r="K166" s="7" t="s">
        <v>250</v>
      </c>
      <c r="L166" s="8" t="s">
        <v>20</v>
      </c>
    </row>
    <row r="167" spans="1:12" ht="34.5" customHeight="1">
      <c r="A167" s="3" t="s">
        <v>554</v>
      </c>
      <c r="B167" s="4" t="s">
        <v>555</v>
      </c>
      <c r="C167" s="5" t="s">
        <v>38</v>
      </c>
      <c r="D167" s="6" t="str">
        <f>IFERROR(INDEX(분류체계!$D$2:$D$16,MATCH($C167,분류체계!$A$2:$A$16,0)),"")</f>
        <v>지능정보화센터 · 지능정보전략실</v>
      </c>
      <c r="E167" s="5" t="s">
        <v>131</v>
      </c>
      <c r="F167" s="5" t="s">
        <v>14</v>
      </c>
      <c r="G167" s="13"/>
      <c r="H167" s="4" t="s">
        <v>556</v>
      </c>
      <c r="I167" s="3">
        <v>2</v>
      </c>
      <c r="J167" s="5" t="s">
        <v>188</v>
      </c>
      <c r="K167" s="7" t="s">
        <v>250</v>
      </c>
      <c r="L167" s="8" t="s">
        <v>20</v>
      </c>
    </row>
    <row r="168" spans="1:12" ht="34.5" customHeight="1">
      <c r="A168" s="3" t="s">
        <v>557</v>
      </c>
      <c r="B168" s="4" t="s">
        <v>558</v>
      </c>
      <c r="C168" s="5" t="s">
        <v>38</v>
      </c>
      <c r="D168" s="6" t="str">
        <f>IFERROR(INDEX(분류체계!$D$2:$D$16,MATCH($C168,분류체계!$A$2:$A$16,0)),"")</f>
        <v>지능정보화센터 · 지능정보전략실</v>
      </c>
      <c r="E168" s="5" t="s">
        <v>15</v>
      </c>
      <c r="F168" s="5" t="s">
        <v>14</v>
      </c>
      <c r="G168" s="13"/>
      <c r="H168" s="4" t="s">
        <v>559</v>
      </c>
      <c r="I168" s="3">
        <v>2</v>
      </c>
      <c r="J168" s="5" t="s">
        <v>188</v>
      </c>
      <c r="K168" s="7" t="s">
        <v>250</v>
      </c>
      <c r="L168" s="8" t="s">
        <v>20</v>
      </c>
    </row>
    <row r="169" spans="1:12" ht="34.5" customHeight="1">
      <c r="A169" s="3" t="s">
        <v>560</v>
      </c>
      <c r="B169" s="4" t="s">
        <v>561</v>
      </c>
      <c r="C169" s="5" t="s">
        <v>38</v>
      </c>
      <c r="D169" s="6" t="str">
        <f>IFERROR(INDEX(분류체계!$D$2:$D$16,MATCH($C169,분류체계!$A$2:$A$16,0)),"")</f>
        <v>지능정보화센터 · 지능정보전략실</v>
      </c>
      <c r="E169" s="5" t="s">
        <v>23</v>
      </c>
      <c r="F169" s="5" t="s">
        <v>54</v>
      </c>
      <c r="G169" s="13"/>
      <c r="H169" s="4" t="s">
        <v>562</v>
      </c>
      <c r="I169" s="3">
        <v>2</v>
      </c>
      <c r="J169" s="5" t="s">
        <v>188</v>
      </c>
      <c r="K169" s="7" t="s">
        <v>250</v>
      </c>
      <c r="L169" s="8" t="s">
        <v>20</v>
      </c>
    </row>
    <row r="170" spans="1:12" ht="34.5" customHeight="1">
      <c r="A170" s="3" t="s">
        <v>563</v>
      </c>
      <c r="B170" s="4" t="s">
        <v>564</v>
      </c>
      <c r="C170" s="5" t="s">
        <v>38</v>
      </c>
      <c r="D170" s="6" t="str">
        <f>IFERROR(INDEX(분류체계!$D$2:$D$16,MATCH($C170,분류체계!$A$2:$A$16,0)),"")</f>
        <v>지능정보화센터 · 지능정보전략실</v>
      </c>
      <c r="E170" s="5" t="s">
        <v>14</v>
      </c>
      <c r="F170" s="5" t="s">
        <v>15</v>
      </c>
      <c r="G170" s="13"/>
      <c r="H170" s="4" t="s">
        <v>565</v>
      </c>
      <c r="I170" s="3">
        <v>2</v>
      </c>
      <c r="J170" s="5" t="s">
        <v>188</v>
      </c>
      <c r="K170" s="7" t="s">
        <v>250</v>
      </c>
      <c r="L170" s="8" t="s">
        <v>20</v>
      </c>
    </row>
    <row r="171" spans="1:12" ht="34.5" customHeight="1">
      <c r="A171" s="3" t="s">
        <v>566</v>
      </c>
      <c r="B171" s="4" t="s">
        <v>567</v>
      </c>
      <c r="C171" s="5" t="s">
        <v>38</v>
      </c>
      <c r="D171" s="6" t="str">
        <f>IFERROR(INDEX(분류체계!$D$2:$D$16,MATCH($C171,분류체계!$A$2:$A$16,0)),"")</f>
        <v>지능정보화센터 · 지능정보전략실</v>
      </c>
      <c r="E171" s="5" t="s">
        <v>16</v>
      </c>
      <c r="F171" s="5" t="s">
        <v>14</v>
      </c>
      <c r="G171" s="13"/>
      <c r="H171" s="4" t="s">
        <v>568</v>
      </c>
      <c r="I171" s="3">
        <v>1</v>
      </c>
      <c r="J171" s="5" t="s">
        <v>188</v>
      </c>
      <c r="K171" s="7" t="s">
        <v>250</v>
      </c>
      <c r="L171" s="8" t="s">
        <v>20</v>
      </c>
    </row>
    <row r="172" spans="1:12" ht="34.5" customHeight="1">
      <c r="A172" s="3" t="s">
        <v>569</v>
      </c>
      <c r="B172" s="4" t="s">
        <v>570</v>
      </c>
      <c r="C172" s="5" t="s">
        <v>16</v>
      </c>
      <c r="D172" s="6" t="str">
        <f>IFERROR(INDEX(분류체계!$D$2:$D$16,MATCH($C172,분류체계!$A$2:$A$16,0)),"")</f>
        <v>정보시스템본부 · IP시스템기반실</v>
      </c>
      <c r="E172" s="13" t="s">
        <v>81</v>
      </c>
      <c r="F172" s="5" t="s">
        <v>14</v>
      </c>
      <c r="G172" s="13"/>
      <c r="H172" s="4" t="s">
        <v>571</v>
      </c>
      <c r="I172" s="3">
        <v>2</v>
      </c>
      <c r="J172" s="5" t="s">
        <v>261</v>
      </c>
      <c r="K172" s="7" t="s">
        <v>272</v>
      </c>
      <c r="L172" s="8" t="s">
        <v>20</v>
      </c>
    </row>
    <row r="173" spans="1:12" ht="34.5" customHeight="1">
      <c r="A173" s="3" t="s">
        <v>572</v>
      </c>
      <c r="B173" s="4" t="s">
        <v>573</v>
      </c>
      <c r="C173" s="5" t="s">
        <v>16</v>
      </c>
      <c r="D173" s="6" t="str">
        <f>IFERROR(INDEX(분류체계!$D$2:$D$16,MATCH($C173,분류체계!$A$2:$A$16,0)),"")</f>
        <v>정보시스템본부 · IP시스템기반실</v>
      </c>
      <c r="E173" s="5" t="s">
        <v>49</v>
      </c>
      <c r="F173" s="5" t="s">
        <v>14</v>
      </c>
      <c r="G173" s="13"/>
      <c r="H173" s="4" t="s">
        <v>574</v>
      </c>
      <c r="I173" s="3">
        <v>2</v>
      </c>
      <c r="J173" s="5" t="s">
        <v>261</v>
      </c>
      <c r="K173" s="7" t="s">
        <v>272</v>
      </c>
      <c r="L173" s="8" t="s">
        <v>20</v>
      </c>
    </row>
    <row r="174" spans="1:12" ht="34.5" customHeight="1">
      <c r="A174" s="3" t="s">
        <v>575</v>
      </c>
      <c r="B174" s="4" t="s">
        <v>576</v>
      </c>
      <c r="C174" s="5" t="s">
        <v>16</v>
      </c>
      <c r="D174" s="6" t="str">
        <f>IFERROR(INDEX(분류체계!$D$2:$D$16,MATCH($C174,분류체계!$A$2:$A$16,0)),"")</f>
        <v>정보시스템본부 · IP시스템기반실</v>
      </c>
      <c r="E174" s="13" t="s">
        <v>81</v>
      </c>
      <c r="F174" s="5" t="s">
        <v>49</v>
      </c>
      <c r="G174" s="13"/>
      <c r="H174" s="4" t="s">
        <v>577</v>
      </c>
      <c r="I174" s="3">
        <v>2</v>
      </c>
      <c r="J174" s="5" t="s">
        <v>261</v>
      </c>
      <c r="K174" s="7" t="s">
        <v>272</v>
      </c>
      <c r="L174" s="8" t="s">
        <v>20</v>
      </c>
    </row>
    <row r="175" spans="1:12" ht="34.5" customHeight="1">
      <c r="A175" s="3" t="s">
        <v>578</v>
      </c>
      <c r="B175" s="4" t="s">
        <v>579</v>
      </c>
      <c r="C175" s="5" t="s">
        <v>16</v>
      </c>
      <c r="D175" s="6" t="str">
        <f>IFERROR(INDEX(분류체계!$D$2:$D$16,MATCH($C175,분류체계!$A$2:$A$16,0)),"")</f>
        <v>정보시스템본부 · IP시스템기반실</v>
      </c>
      <c r="E175" s="13" t="s">
        <v>81</v>
      </c>
      <c r="F175" s="5" t="s">
        <v>15</v>
      </c>
      <c r="G175" s="13"/>
      <c r="H175" s="4" t="s">
        <v>580</v>
      </c>
      <c r="I175" s="3">
        <v>1</v>
      </c>
      <c r="J175" s="5" t="s">
        <v>261</v>
      </c>
      <c r="K175" s="7" t="s">
        <v>272</v>
      </c>
      <c r="L175" s="8" t="s">
        <v>20</v>
      </c>
    </row>
    <row r="176" spans="1:12" ht="34.5" customHeight="1">
      <c r="A176" s="3" t="s">
        <v>581</v>
      </c>
      <c r="B176" s="4" t="s">
        <v>582</v>
      </c>
      <c r="C176" s="5" t="s">
        <v>16</v>
      </c>
      <c r="D176" s="6" t="str">
        <f>IFERROR(INDEX(분류체계!$D$2:$D$16,MATCH($C176,분류체계!$A$2:$A$16,0)),"")</f>
        <v>정보시스템본부 · IP시스템기반실</v>
      </c>
      <c r="E176" s="13" t="s">
        <v>81</v>
      </c>
      <c r="F176" s="5" t="s">
        <v>38</v>
      </c>
      <c r="G176" s="13"/>
      <c r="H176" s="4" t="s">
        <v>583</v>
      </c>
      <c r="I176" s="3">
        <v>3</v>
      </c>
      <c r="J176" s="5" t="s">
        <v>261</v>
      </c>
      <c r="K176" s="7" t="s">
        <v>272</v>
      </c>
      <c r="L176" s="8" t="s">
        <v>20</v>
      </c>
    </row>
    <row r="177" spans="1:12" ht="34.5" customHeight="1">
      <c r="A177" s="3" t="s">
        <v>584</v>
      </c>
      <c r="B177" s="4" t="s">
        <v>585</v>
      </c>
      <c r="C177" s="5" t="s">
        <v>16</v>
      </c>
      <c r="D177" s="6" t="str">
        <f>IFERROR(INDEX(분류체계!$D$2:$D$16,MATCH($C177,분류체계!$A$2:$A$16,0)),"")</f>
        <v>정보시스템본부 · IP시스템기반실</v>
      </c>
      <c r="E177" s="13" t="s">
        <v>81</v>
      </c>
      <c r="F177" s="5" t="s">
        <v>38</v>
      </c>
      <c r="G177" s="13"/>
      <c r="H177" s="4" t="s">
        <v>586</v>
      </c>
      <c r="I177" s="3">
        <v>2</v>
      </c>
      <c r="J177" s="5" t="s">
        <v>261</v>
      </c>
      <c r="K177" s="7" t="s">
        <v>272</v>
      </c>
      <c r="L177" s="8" t="s">
        <v>20</v>
      </c>
    </row>
    <row r="178" spans="1:12" ht="34.5" customHeight="1">
      <c r="A178" s="3" t="s">
        <v>587</v>
      </c>
      <c r="B178" s="4" t="s">
        <v>588</v>
      </c>
      <c r="C178" s="5" t="s">
        <v>16</v>
      </c>
      <c r="D178" s="6" t="str">
        <f>IFERROR(INDEX(분류체계!$D$2:$D$16,MATCH($C178,분류체계!$A$2:$A$16,0)),"")</f>
        <v>정보시스템본부 · IP시스템기반실</v>
      </c>
      <c r="E178" s="13" t="s">
        <v>81</v>
      </c>
      <c r="F178" s="5" t="s">
        <v>23</v>
      </c>
      <c r="G178" s="13"/>
      <c r="H178" s="4" t="s">
        <v>589</v>
      </c>
      <c r="I178" s="3">
        <v>3</v>
      </c>
      <c r="J178" s="5" t="s">
        <v>261</v>
      </c>
      <c r="K178" s="7" t="s">
        <v>272</v>
      </c>
      <c r="L178" s="8" t="s">
        <v>20</v>
      </c>
    </row>
    <row r="179" spans="1:12" ht="34.5" customHeight="1">
      <c r="A179" s="3" t="s">
        <v>590</v>
      </c>
      <c r="B179" s="4" t="s">
        <v>591</v>
      </c>
      <c r="C179" s="5" t="s">
        <v>16</v>
      </c>
      <c r="D179" s="6" t="str">
        <f>IFERROR(INDEX(분류체계!$D$2:$D$16,MATCH($C179,분류체계!$A$2:$A$16,0)),"")</f>
        <v>정보시스템본부 · IP시스템기반실</v>
      </c>
      <c r="E179" s="13" t="s">
        <v>81</v>
      </c>
      <c r="F179" s="5" t="s">
        <v>14</v>
      </c>
      <c r="G179" s="13"/>
      <c r="H179" s="4" t="s">
        <v>592</v>
      </c>
      <c r="I179" s="3">
        <v>1</v>
      </c>
      <c r="J179" s="5" t="s">
        <v>261</v>
      </c>
      <c r="K179" s="7" t="s">
        <v>272</v>
      </c>
      <c r="L179" s="8" t="s">
        <v>20</v>
      </c>
    </row>
    <row r="180" spans="1:12" ht="34.5" customHeight="1">
      <c r="A180" s="3" t="s">
        <v>593</v>
      </c>
      <c r="B180" s="4" t="s">
        <v>594</v>
      </c>
      <c r="C180" s="5" t="s">
        <v>49</v>
      </c>
      <c r="D180" s="6" t="str">
        <f>IFERROR(INDEX(분류체계!$D$2:$D$16,MATCH($C180,분류체계!$A$2:$A$16,0)),"")</f>
        <v>정보활용본부 · IP고객상담실</v>
      </c>
      <c r="E180" s="5" t="s">
        <v>16</v>
      </c>
      <c r="F180" s="5" t="s">
        <v>85</v>
      </c>
      <c r="G180" s="13"/>
      <c r="H180" s="4" t="s">
        <v>595</v>
      </c>
      <c r="I180" s="3">
        <v>1</v>
      </c>
      <c r="J180" s="5" t="s">
        <v>261</v>
      </c>
      <c r="K180" s="7" t="s">
        <v>262</v>
      </c>
      <c r="L180" s="8" t="s">
        <v>20</v>
      </c>
    </row>
    <row r="181" spans="1:12" ht="34.5" customHeight="1">
      <c r="A181" s="3" t="s">
        <v>596</v>
      </c>
      <c r="B181" s="4" t="s">
        <v>597</v>
      </c>
      <c r="C181" s="5" t="s">
        <v>49</v>
      </c>
      <c r="D181" s="6" t="str">
        <f>IFERROR(INDEX(분류체계!$D$2:$D$16,MATCH($C181,분류체계!$A$2:$A$16,0)),"")</f>
        <v>정보활용본부 · IP고객상담실</v>
      </c>
      <c r="E181" s="5" t="s">
        <v>16</v>
      </c>
      <c r="F181" s="5" t="s">
        <v>15</v>
      </c>
      <c r="G181" s="13"/>
      <c r="H181" s="4" t="s">
        <v>598</v>
      </c>
      <c r="I181" s="3">
        <v>1</v>
      </c>
      <c r="J181" s="5" t="s">
        <v>261</v>
      </c>
      <c r="K181" s="7" t="s">
        <v>262</v>
      </c>
      <c r="L181" s="8" t="s">
        <v>20</v>
      </c>
    </row>
    <row r="182" spans="1:12" ht="34.5" customHeight="1">
      <c r="A182" s="3" t="s">
        <v>599</v>
      </c>
      <c r="B182" s="4" t="s">
        <v>600</v>
      </c>
      <c r="C182" s="5" t="s">
        <v>49</v>
      </c>
      <c r="D182" s="6" t="str">
        <f>IFERROR(INDEX(분류체계!$D$2:$D$16,MATCH($C182,분류체계!$A$2:$A$16,0)),"")</f>
        <v>정보활용본부 · IP고객상담실</v>
      </c>
      <c r="E182" s="5" t="s">
        <v>16</v>
      </c>
      <c r="F182" s="5" t="s">
        <v>14</v>
      </c>
      <c r="G182" s="13"/>
      <c r="H182" s="4" t="s">
        <v>601</v>
      </c>
      <c r="I182" s="3">
        <v>2</v>
      </c>
      <c r="J182" s="5" t="s">
        <v>261</v>
      </c>
      <c r="K182" s="7" t="s">
        <v>262</v>
      </c>
      <c r="L182" s="8" t="s">
        <v>20</v>
      </c>
    </row>
    <row r="183" spans="1:12" ht="34.5" customHeight="1">
      <c r="A183" s="3" t="s">
        <v>602</v>
      </c>
      <c r="B183" s="4" t="s">
        <v>603</v>
      </c>
      <c r="C183" s="5" t="s">
        <v>49</v>
      </c>
      <c r="D183" s="6" t="str">
        <f>IFERROR(INDEX(분류체계!$D$2:$D$16,MATCH($C183,분류체계!$A$2:$A$16,0)),"")</f>
        <v>정보활용본부 · IP고객상담실</v>
      </c>
      <c r="E183" s="5" t="s">
        <v>16</v>
      </c>
      <c r="F183" s="5" t="s">
        <v>15</v>
      </c>
      <c r="G183" s="13"/>
      <c r="H183" s="4" t="s">
        <v>604</v>
      </c>
      <c r="I183" s="3">
        <v>1</v>
      </c>
      <c r="J183" s="5" t="s">
        <v>261</v>
      </c>
      <c r="K183" s="7" t="s">
        <v>262</v>
      </c>
      <c r="L183" s="8" t="s">
        <v>20</v>
      </c>
    </row>
    <row r="184" spans="1:12" ht="34.5" customHeight="1">
      <c r="A184" s="3" t="s">
        <v>605</v>
      </c>
      <c r="B184" s="4" t="s">
        <v>606</v>
      </c>
      <c r="C184" s="5" t="s">
        <v>49</v>
      </c>
      <c r="D184" s="6" t="str">
        <f>IFERROR(INDEX(분류체계!$D$2:$D$16,MATCH($C184,분류체계!$A$2:$A$16,0)),"")</f>
        <v>정보활용본부 · IP고객상담실</v>
      </c>
      <c r="E184" s="5" t="s">
        <v>16</v>
      </c>
      <c r="F184" s="5" t="s">
        <v>85</v>
      </c>
      <c r="G184" s="13"/>
      <c r="H184" s="4" t="s">
        <v>607</v>
      </c>
      <c r="I184" s="3">
        <v>2</v>
      </c>
      <c r="J184" s="5" t="s">
        <v>261</v>
      </c>
      <c r="K184" s="7" t="s">
        <v>262</v>
      </c>
      <c r="L184" s="8" t="s">
        <v>20</v>
      </c>
    </row>
    <row r="185" spans="1:12" ht="34.5" customHeight="1">
      <c r="A185" s="3" t="s">
        <v>608</v>
      </c>
      <c r="B185" s="4" t="s">
        <v>609</v>
      </c>
      <c r="C185" s="5" t="s">
        <v>23</v>
      </c>
      <c r="D185" s="6" t="str">
        <f>IFERROR(INDEX(분류체계!$D$2:$D$16,MATCH($C185,분류체계!$A$2:$A$16,0)),"")</f>
        <v>정보활용본부 · IP정보확산실</v>
      </c>
      <c r="E185" s="5" t="s">
        <v>16</v>
      </c>
      <c r="F185" s="13" t="s">
        <v>81</v>
      </c>
      <c r="G185" s="13"/>
      <c r="H185" s="4" t="s">
        <v>610</v>
      </c>
      <c r="I185" s="3">
        <v>2</v>
      </c>
      <c r="J185" s="5" t="s">
        <v>188</v>
      </c>
      <c r="K185" s="7" t="s">
        <v>323</v>
      </c>
      <c r="L185" s="8" t="s">
        <v>20</v>
      </c>
    </row>
    <row r="186" spans="1:12" ht="34.5" customHeight="1">
      <c r="A186" s="3" t="s">
        <v>611</v>
      </c>
      <c r="B186" s="4" t="s">
        <v>612</v>
      </c>
      <c r="C186" s="5" t="s">
        <v>23</v>
      </c>
      <c r="D186" s="6" t="str">
        <f>IFERROR(INDEX(분류체계!$D$2:$D$16,MATCH($C186,분류체계!$A$2:$A$16,0)),"")</f>
        <v>정보활용본부 · IP정보확산실</v>
      </c>
      <c r="E186" s="5" t="s">
        <v>38</v>
      </c>
      <c r="F186" s="5" t="s">
        <v>24</v>
      </c>
      <c r="G186" s="13"/>
      <c r="H186" s="4" t="s">
        <v>613</v>
      </c>
      <c r="I186" s="3">
        <v>2</v>
      </c>
      <c r="J186" s="5" t="s">
        <v>188</v>
      </c>
      <c r="K186" s="7" t="s">
        <v>323</v>
      </c>
      <c r="L186" s="8" t="s">
        <v>20</v>
      </c>
    </row>
    <row r="187" spans="1:12" ht="34.5" customHeight="1">
      <c r="A187" s="3" t="s">
        <v>614</v>
      </c>
      <c r="B187" s="4" t="s">
        <v>615</v>
      </c>
      <c r="C187" s="5" t="s">
        <v>23</v>
      </c>
      <c r="D187" s="6" t="str">
        <f>IFERROR(INDEX(분류체계!$D$2:$D$16,MATCH($C187,분류체계!$A$2:$A$16,0)),"")</f>
        <v>정보활용본부 · IP정보확산실</v>
      </c>
      <c r="E187" s="5" t="s">
        <v>16</v>
      </c>
      <c r="F187" s="5" t="s">
        <v>85</v>
      </c>
      <c r="G187" s="13"/>
      <c r="H187" s="4" t="s">
        <v>616</v>
      </c>
      <c r="I187" s="3">
        <v>2</v>
      </c>
      <c r="J187" s="5" t="s">
        <v>188</v>
      </c>
      <c r="K187" s="7" t="s">
        <v>323</v>
      </c>
      <c r="L187" s="8" t="s">
        <v>20</v>
      </c>
    </row>
    <row r="188" spans="1:12" ht="34.5" customHeight="1">
      <c r="A188" s="3" t="s">
        <v>617</v>
      </c>
      <c r="B188" s="4" t="s">
        <v>618</v>
      </c>
      <c r="C188" s="5" t="s">
        <v>23</v>
      </c>
      <c r="D188" s="6" t="str">
        <f>IFERROR(INDEX(분류체계!$D$2:$D$16,MATCH($C188,분류체계!$A$2:$A$16,0)),"")</f>
        <v>정보활용본부 · IP정보확산실</v>
      </c>
      <c r="E188" s="5" t="s">
        <v>16</v>
      </c>
      <c r="F188" s="13" t="s">
        <v>81</v>
      </c>
      <c r="G188" s="13"/>
      <c r="H188" s="4" t="s">
        <v>619</v>
      </c>
      <c r="I188" s="3">
        <v>1</v>
      </c>
      <c r="J188" s="5" t="s">
        <v>188</v>
      </c>
      <c r="K188" s="7" t="s">
        <v>323</v>
      </c>
      <c r="L188" s="8" t="s">
        <v>20</v>
      </c>
    </row>
    <row r="189" spans="1:12" ht="34.5" customHeight="1">
      <c r="A189" s="3" t="s">
        <v>620</v>
      </c>
      <c r="B189" s="4" t="s">
        <v>621</v>
      </c>
      <c r="C189" s="5" t="s">
        <v>23</v>
      </c>
      <c r="D189" s="6" t="str">
        <f>IFERROR(INDEX(분류체계!$D$2:$D$16,MATCH($C189,분류체계!$A$2:$A$16,0)),"")</f>
        <v>정보활용본부 · IP정보확산실</v>
      </c>
      <c r="E189" s="5" t="s">
        <v>38</v>
      </c>
      <c r="F189" s="5" t="s">
        <v>16</v>
      </c>
      <c r="G189" s="13"/>
      <c r="H189" s="4" t="s">
        <v>622</v>
      </c>
      <c r="I189" s="3">
        <v>2</v>
      </c>
      <c r="J189" s="5" t="s">
        <v>188</v>
      </c>
      <c r="K189" s="7" t="s">
        <v>323</v>
      </c>
      <c r="L189" s="8" t="s">
        <v>20</v>
      </c>
    </row>
    <row r="190" spans="1:12" ht="34.5" customHeight="1">
      <c r="A190" s="3" t="s">
        <v>623</v>
      </c>
      <c r="B190" s="4" t="s">
        <v>624</v>
      </c>
      <c r="C190" s="5" t="s">
        <v>23</v>
      </c>
      <c r="D190" s="6" t="str">
        <f>IFERROR(INDEX(분류체계!$D$2:$D$16,MATCH($C190,분류체계!$A$2:$A$16,0)),"")</f>
        <v>정보활용본부 · IP정보확산실</v>
      </c>
      <c r="E190" s="5" t="s">
        <v>38</v>
      </c>
      <c r="F190" s="5" t="s">
        <v>16</v>
      </c>
      <c r="G190" s="13"/>
      <c r="H190" s="4" t="s">
        <v>625</v>
      </c>
      <c r="I190" s="3">
        <v>2</v>
      </c>
      <c r="J190" s="5" t="s">
        <v>188</v>
      </c>
      <c r="K190" s="7" t="s">
        <v>323</v>
      </c>
      <c r="L190" s="8" t="s">
        <v>20</v>
      </c>
    </row>
    <row r="191" spans="1:12" ht="34.5" customHeight="1">
      <c r="A191" s="3" t="s">
        <v>626</v>
      </c>
      <c r="B191" s="4" t="s">
        <v>627</v>
      </c>
      <c r="C191" s="5" t="s">
        <v>23</v>
      </c>
      <c r="D191" s="6" t="str">
        <f>IFERROR(INDEX(분류체계!$D$2:$D$16,MATCH($C191,분류체계!$A$2:$A$16,0)),"")</f>
        <v>정보활용본부 · IP정보확산실</v>
      </c>
      <c r="E191" s="5" t="s">
        <v>16</v>
      </c>
      <c r="F191" s="13" t="s">
        <v>81</v>
      </c>
      <c r="G191" s="13"/>
      <c r="H191" s="4" t="s">
        <v>628</v>
      </c>
      <c r="I191" s="3">
        <v>2</v>
      </c>
      <c r="J191" s="5" t="s">
        <v>188</v>
      </c>
      <c r="K191" s="7" t="s">
        <v>323</v>
      </c>
      <c r="L191" s="8" t="s">
        <v>20</v>
      </c>
    </row>
    <row r="192" spans="1:12" ht="34.5" customHeight="1">
      <c r="A192" s="3" t="s">
        <v>629</v>
      </c>
      <c r="B192" s="4" t="s">
        <v>630</v>
      </c>
      <c r="C192" s="5" t="s">
        <v>23</v>
      </c>
      <c r="D192" s="6" t="str">
        <f>IFERROR(INDEX(분류체계!$D$2:$D$16,MATCH($C192,분류체계!$A$2:$A$16,0)),"")</f>
        <v>정보활용본부 · IP정보확산실</v>
      </c>
      <c r="E192" s="5" t="s">
        <v>16</v>
      </c>
      <c r="F192" s="13" t="s">
        <v>81</v>
      </c>
      <c r="G192" s="13"/>
      <c r="H192" s="4" t="s">
        <v>631</v>
      </c>
      <c r="I192" s="3">
        <v>1</v>
      </c>
      <c r="J192" s="5" t="s">
        <v>188</v>
      </c>
      <c r="K192" s="7" t="s">
        <v>323</v>
      </c>
      <c r="L192" s="8" t="s">
        <v>20</v>
      </c>
    </row>
    <row r="193" spans="1:12" ht="34.5" customHeight="1">
      <c r="A193" s="3" t="s">
        <v>632</v>
      </c>
      <c r="B193" s="4" t="s">
        <v>633</v>
      </c>
      <c r="C193" s="5" t="s">
        <v>23</v>
      </c>
      <c r="D193" s="6" t="str">
        <f>IFERROR(INDEX(분류체계!$D$2:$D$16,MATCH($C193,분류체계!$A$2:$A$16,0)),"")</f>
        <v>정보활용본부 · IP정보확산실</v>
      </c>
      <c r="E193" s="5" t="s">
        <v>38</v>
      </c>
      <c r="F193" s="5" t="s">
        <v>16</v>
      </c>
      <c r="G193" s="13"/>
      <c r="H193" s="4" t="s">
        <v>634</v>
      </c>
      <c r="I193" s="3">
        <v>2</v>
      </c>
      <c r="J193" s="5" t="s">
        <v>188</v>
      </c>
      <c r="K193" s="7" t="s">
        <v>323</v>
      </c>
      <c r="L193" s="8" t="s">
        <v>20</v>
      </c>
    </row>
    <row r="194" spans="1:12" ht="34.5" customHeight="1">
      <c r="A194" s="3" t="s">
        <v>635</v>
      </c>
      <c r="B194" s="4" t="s">
        <v>636</v>
      </c>
      <c r="C194" s="5" t="s">
        <v>54</v>
      </c>
      <c r="D194" s="6" t="str">
        <f>IFERROR(INDEX(분류체계!$D$2:$D$16,MATCH($C194,분류체계!$A$2:$A$16,0)),"")</f>
        <v>경영관리본부 · 전략기획실</v>
      </c>
      <c r="E194" s="5" t="s">
        <v>24</v>
      </c>
      <c r="F194" s="5" t="s">
        <v>38</v>
      </c>
      <c r="G194" s="13"/>
      <c r="H194" s="4" t="s">
        <v>637</v>
      </c>
      <c r="I194" s="3">
        <v>1</v>
      </c>
      <c r="J194" s="5" t="s">
        <v>54</v>
      </c>
      <c r="K194" s="7" t="s">
        <v>344</v>
      </c>
      <c r="L194" s="8" t="s">
        <v>20</v>
      </c>
    </row>
    <row r="195" spans="1:12" ht="34.5" customHeight="1">
      <c r="A195" s="3" t="s">
        <v>638</v>
      </c>
      <c r="B195" s="4" t="s">
        <v>639</v>
      </c>
      <c r="C195" s="5" t="s">
        <v>54</v>
      </c>
      <c r="D195" s="6" t="str">
        <f>IFERROR(INDEX(분류체계!$D$2:$D$16,MATCH($C195,분류체계!$A$2:$A$16,0)),"")</f>
        <v>경영관리본부 · 전략기획실</v>
      </c>
      <c r="E195" s="5" t="s">
        <v>49</v>
      </c>
      <c r="F195" s="5" t="s">
        <v>24</v>
      </c>
      <c r="G195" s="13"/>
      <c r="H195" s="4" t="s">
        <v>640</v>
      </c>
      <c r="I195" s="3">
        <v>1</v>
      </c>
      <c r="J195" s="5" t="s">
        <v>54</v>
      </c>
      <c r="K195" s="7" t="s">
        <v>344</v>
      </c>
      <c r="L195" s="8" t="s">
        <v>20</v>
      </c>
    </row>
    <row r="196" spans="1:12" ht="34.5" customHeight="1">
      <c r="A196" s="3" t="s">
        <v>641</v>
      </c>
      <c r="B196" s="4" t="s">
        <v>642</v>
      </c>
      <c r="C196" s="5" t="s">
        <v>54</v>
      </c>
      <c r="D196" s="6" t="str">
        <f>IFERROR(INDEX(분류체계!$D$2:$D$16,MATCH($C196,분류체계!$A$2:$A$16,0)),"")</f>
        <v>경영관리본부 · 전략기획실</v>
      </c>
      <c r="E196" s="5" t="s">
        <v>24</v>
      </c>
      <c r="F196" s="5" t="s">
        <v>49</v>
      </c>
      <c r="G196" s="13"/>
      <c r="H196" s="4" t="s">
        <v>643</v>
      </c>
      <c r="I196" s="3">
        <v>1</v>
      </c>
      <c r="J196" s="5" t="s">
        <v>54</v>
      </c>
      <c r="K196" s="7" t="s">
        <v>344</v>
      </c>
      <c r="L196" s="8" t="s">
        <v>20</v>
      </c>
    </row>
    <row r="197" spans="1:12" ht="34.5" customHeight="1">
      <c r="A197" s="3" t="s">
        <v>644</v>
      </c>
      <c r="B197" s="4" t="s">
        <v>645</v>
      </c>
      <c r="C197" s="5" t="s">
        <v>54</v>
      </c>
      <c r="D197" s="6" t="str">
        <f>IFERROR(INDEX(분류체계!$D$2:$D$16,MATCH($C197,분류체계!$A$2:$A$16,0)),"")</f>
        <v>경영관리본부 · 전략기획실</v>
      </c>
      <c r="E197" s="5" t="s">
        <v>49</v>
      </c>
      <c r="F197" s="5" t="s">
        <v>38</v>
      </c>
      <c r="G197" s="13"/>
      <c r="H197" s="4" t="s">
        <v>646</v>
      </c>
      <c r="I197" s="3">
        <v>1</v>
      </c>
      <c r="J197" s="5" t="s">
        <v>54</v>
      </c>
      <c r="K197" s="7" t="s">
        <v>344</v>
      </c>
      <c r="L197" s="8" t="s">
        <v>20</v>
      </c>
    </row>
    <row r="198" spans="1:12" ht="34.5" customHeight="1">
      <c r="A198" s="3" t="s">
        <v>647</v>
      </c>
      <c r="B198" s="4" t="s">
        <v>648</v>
      </c>
      <c r="C198" s="5" t="s">
        <v>54</v>
      </c>
      <c r="D198" s="6" t="str">
        <f>IFERROR(INDEX(분류체계!$D$2:$D$16,MATCH($C198,분류체계!$A$2:$A$16,0)),"")</f>
        <v>경영관리본부 · 전략기획실</v>
      </c>
      <c r="E198" s="5" t="s">
        <v>38</v>
      </c>
      <c r="F198" s="5" t="s">
        <v>15</v>
      </c>
      <c r="G198" s="13"/>
      <c r="H198" s="4" t="s">
        <v>649</v>
      </c>
      <c r="I198" s="3">
        <v>2</v>
      </c>
      <c r="J198" s="5" t="s">
        <v>54</v>
      </c>
      <c r="K198" s="7" t="s">
        <v>650</v>
      </c>
      <c r="L198" s="8" t="s">
        <v>20</v>
      </c>
    </row>
    <row r="199" spans="1:12" ht="34.5" customHeight="1">
      <c r="A199" s="3" t="s">
        <v>651</v>
      </c>
      <c r="B199" s="4" t="s">
        <v>652</v>
      </c>
      <c r="C199" s="5" t="s">
        <v>54</v>
      </c>
      <c r="D199" s="6" t="str">
        <f>IFERROR(INDEX(분류체계!$D$2:$D$16,MATCH($C199,분류체계!$A$2:$A$16,0)),"")</f>
        <v>경영관리본부 · 전략기획실</v>
      </c>
      <c r="E199" s="5" t="s">
        <v>38</v>
      </c>
      <c r="F199" s="5" t="s">
        <v>24</v>
      </c>
      <c r="G199" s="13"/>
      <c r="H199" s="4" t="s">
        <v>653</v>
      </c>
      <c r="I199" s="3">
        <v>2</v>
      </c>
      <c r="J199" s="5" t="s">
        <v>54</v>
      </c>
      <c r="K199" s="7" t="s">
        <v>650</v>
      </c>
      <c r="L199" s="8" t="s">
        <v>20</v>
      </c>
    </row>
    <row r="200" spans="1:12" ht="34.5" customHeight="1">
      <c r="A200" s="3" t="s">
        <v>654</v>
      </c>
      <c r="B200" s="4" t="s">
        <v>655</v>
      </c>
      <c r="C200" s="5" t="s">
        <v>54</v>
      </c>
      <c r="D200" s="6" t="str">
        <f>IFERROR(INDEX(분류체계!$D$2:$D$16,MATCH($C200,분류체계!$A$2:$A$16,0)),"")</f>
        <v>경영관리본부 · 전략기획실</v>
      </c>
      <c r="E200" s="5" t="s">
        <v>49</v>
      </c>
      <c r="F200" s="5" t="s">
        <v>162</v>
      </c>
      <c r="G200" s="13"/>
      <c r="H200" s="4" t="s">
        <v>656</v>
      </c>
      <c r="I200" s="3">
        <v>2</v>
      </c>
      <c r="J200" s="5" t="s">
        <v>54</v>
      </c>
      <c r="K200" s="7" t="s">
        <v>344</v>
      </c>
      <c r="L200" s="8" t="s">
        <v>20</v>
      </c>
    </row>
    <row r="201" spans="1:12" ht="34.5" customHeight="1">
      <c r="A201" s="3" t="s">
        <v>657</v>
      </c>
      <c r="B201" s="4" t="s">
        <v>658</v>
      </c>
      <c r="C201" s="5" t="s">
        <v>54</v>
      </c>
      <c r="D201" s="6" t="str">
        <f>IFERROR(INDEX(분류체계!$D$2:$D$16,MATCH($C201,분류체계!$A$2:$A$16,0)),"")</f>
        <v>경영관리본부 · 전략기획실</v>
      </c>
      <c r="E201" s="5" t="s">
        <v>24</v>
      </c>
      <c r="F201" s="5" t="s">
        <v>15</v>
      </c>
      <c r="G201" s="13"/>
      <c r="H201" s="4" t="s">
        <v>659</v>
      </c>
      <c r="I201" s="3">
        <v>1</v>
      </c>
      <c r="J201" s="5" t="s">
        <v>54</v>
      </c>
      <c r="K201" s="7" t="s">
        <v>650</v>
      </c>
      <c r="L201" s="8" t="s">
        <v>20</v>
      </c>
    </row>
  </sheetData>
  <autoFilter ref="A1:K101"/>
  <phoneticPr fontId="15" type="noConversion"/>
  <dataValidations count="3">
    <dataValidation type="list" allowBlank="1" sqref="C2:C500 E2:G500">
      <formula1>분류목록</formula1>
      <formula2>0</formula2>
    </dataValidation>
    <dataValidation type="list" allowBlank="1" sqref="I2:I500">
      <formula1>"1,2,3"</formula1>
      <formula2>0</formula2>
    </dataValidation>
    <dataValidation type="list" allowBlank="1" sqref="L2:L500">
      <formula1>"미검수,검수완료,보류"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8" style="1" customWidth="1"/>
    <col min="2" max="2" width="24" style="1" customWidth="1"/>
    <col min="3" max="3" width="62" style="1" customWidth="1"/>
    <col min="4" max="4" width="30" style="1" customWidth="1"/>
    <col min="5" max="5" width="42" style="1" customWidth="1"/>
    <col min="7" max="7" width="11" style="1" customWidth="1"/>
  </cols>
  <sheetData>
    <row r="1" spans="1:7" ht="15" customHeight="1">
      <c r="A1" s="16" t="s">
        <v>2</v>
      </c>
      <c r="B1" s="16" t="s">
        <v>9</v>
      </c>
      <c r="C1" s="16" t="s">
        <v>660</v>
      </c>
      <c r="D1" s="16" t="s">
        <v>661</v>
      </c>
      <c r="E1" s="16" t="s">
        <v>662</v>
      </c>
      <c r="G1" s="17" t="s">
        <v>663</v>
      </c>
    </row>
    <row r="2" spans="1:7" ht="29.25" customHeight="1">
      <c r="A2" s="18" t="s">
        <v>14</v>
      </c>
      <c r="B2" s="18" t="s">
        <v>18</v>
      </c>
      <c r="C2" s="19" t="s">
        <v>664</v>
      </c>
      <c r="D2" s="19" t="s">
        <v>665</v>
      </c>
      <c r="E2" s="20" t="s">
        <v>666</v>
      </c>
      <c r="F2" s="21">
        <v>15</v>
      </c>
      <c r="G2" s="22" t="s">
        <v>667</v>
      </c>
    </row>
    <row r="3" spans="1:7" ht="29.25" customHeight="1">
      <c r="A3" s="18" t="s">
        <v>15</v>
      </c>
      <c r="B3" s="18" t="s">
        <v>18</v>
      </c>
      <c r="C3" s="19" t="s">
        <v>668</v>
      </c>
      <c r="D3" s="19" t="s">
        <v>669</v>
      </c>
      <c r="E3" s="20" t="s">
        <v>670</v>
      </c>
      <c r="F3" s="21">
        <v>15</v>
      </c>
      <c r="G3" s="22" t="s">
        <v>667</v>
      </c>
    </row>
    <row r="4" spans="1:7" ht="29.25" customHeight="1">
      <c r="A4" s="18" t="s">
        <v>85</v>
      </c>
      <c r="B4" s="18" t="s">
        <v>18</v>
      </c>
      <c r="C4" s="19" t="s">
        <v>671</v>
      </c>
      <c r="D4" s="19" t="s">
        <v>672</v>
      </c>
      <c r="E4" s="20" t="s">
        <v>673</v>
      </c>
      <c r="F4" s="21">
        <v>15</v>
      </c>
      <c r="G4" s="22" t="s">
        <v>667</v>
      </c>
    </row>
    <row r="5" spans="1:7" ht="29.25" customHeight="1">
      <c r="A5" s="18" t="s">
        <v>42</v>
      </c>
      <c r="B5" s="18" t="s">
        <v>18</v>
      </c>
      <c r="C5" s="19" t="s">
        <v>674</v>
      </c>
      <c r="D5" s="19" t="s">
        <v>675</v>
      </c>
      <c r="E5" s="20" t="s">
        <v>676</v>
      </c>
      <c r="F5" s="21">
        <v>15</v>
      </c>
      <c r="G5" s="22" t="s">
        <v>667</v>
      </c>
    </row>
    <row r="6" spans="1:7" ht="29.25" customHeight="1">
      <c r="A6" s="18" t="s">
        <v>111</v>
      </c>
      <c r="B6" s="18" t="s">
        <v>18</v>
      </c>
      <c r="C6" s="19" t="s">
        <v>677</v>
      </c>
      <c r="D6" s="19" t="s">
        <v>675</v>
      </c>
      <c r="E6" s="20" t="s">
        <v>678</v>
      </c>
      <c r="F6" s="21">
        <v>6</v>
      </c>
      <c r="G6" s="22" t="s">
        <v>667</v>
      </c>
    </row>
    <row r="7" spans="1:7" ht="29.25" customHeight="1">
      <c r="A7" s="23" t="s">
        <v>131</v>
      </c>
      <c r="B7" s="23" t="s">
        <v>18</v>
      </c>
      <c r="C7" s="24" t="s">
        <v>679</v>
      </c>
      <c r="D7" s="23" t="s">
        <v>680</v>
      </c>
      <c r="E7" s="25" t="s">
        <v>681</v>
      </c>
      <c r="F7" s="21">
        <v>9</v>
      </c>
      <c r="G7" s="22" t="s">
        <v>667</v>
      </c>
    </row>
    <row r="8" spans="1:7" ht="29.25" customHeight="1">
      <c r="A8" s="26" t="s">
        <v>28</v>
      </c>
      <c r="B8" s="26" t="s">
        <v>18</v>
      </c>
      <c r="C8" s="27" t="s">
        <v>682</v>
      </c>
      <c r="D8" s="27" t="s">
        <v>683</v>
      </c>
      <c r="E8" s="28" t="s">
        <v>684</v>
      </c>
      <c r="F8" s="29">
        <v>7</v>
      </c>
      <c r="G8" s="22" t="s">
        <v>685</v>
      </c>
    </row>
    <row r="9" spans="1:7" ht="29.25" customHeight="1">
      <c r="A9" s="30" t="s">
        <v>81</v>
      </c>
      <c r="B9" s="18" t="s">
        <v>188</v>
      </c>
      <c r="C9" s="19" t="s">
        <v>686</v>
      </c>
      <c r="D9" s="19" t="s">
        <v>687</v>
      </c>
      <c r="E9" s="20" t="s">
        <v>688</v>
      </c>
      <c r="F9" s="21">
        <v>15</v>
      </c>
      <c r="G9" s="22" t="s">
        <v>667</v>
      </c>
    </row>
    <row r="10" spans="1:7" ht="29.25" customHeight="1">
      <c r="A10" s="18" t="s">
        <v>24</v>
      </c>
      <c r="B10" s="18" t="s">
        <v>188</v>
      </c>
      <c r="C10" s="20" t="s">
        <v>689</v>
      </c>
      <c r="D10" s="19" t="s">
        <v>669</v>
      </c>
      <c r="E10" s="20" t="s">
        <v>690</v>
      </c>
      <c r="F10" s="21">
        <v>15</v>
      </c>
      <c r="G10" s="22" t="s">
        <v>667</v>
      </c>
    </row>
    <row r="11" spans="1:7" ht="29.25" customHeight="1">
      <c r="A11" s="18" t="s">
        <v>162</v>
      </c>
      <c r="B11" s="18" t="s">
        <v>188</v>
      </c>
      <c r="C11" s="20" t="s">
        <v>691</v>
      </c>
      <c r="D11" s="19" t="s">
        <v>669</v>
      </c>
      <c r="E11" s="20" t="s">
        <v>692</v>
      </c>
      <c r="F11" s="21">
        <v>15</v>
      </c>
      <c r="G11" s="22" t="s">
        <v>667</v>
      </c>
    </row>
    <row r="12" spans="1:7" ht="29.25" customHeight="1">
      <c r="A12" s="18" t="s">
        <v>38</v>
      </c>
      <c r="B12" s="18" t="s">
        <v>188</v>
      </c>
      <c r="C12" s="19" t="s">
        <v>693</v>
      </c>
      <c r="D12" s="19" t="s">
        <v>694</v>
      </c>
      <c r="E12" s="20" t="s">
        <v>695</v>
      </c>
      <c r="F12" s="21">
        <v>14</v>
      </c>
      <c r="G12" s="22" t="s">
        <v>667</v>
      </c>
    </row>
    <row r="13" spans="1:7" ht="29.25" customHeight="1">
      <c r="A13" s="18" t="s">
        <v>16</v>
      </c>
      <c r="B13" s="18" t="s">
        <v>261</v>
      </c>
      <c r="C13" s="19" t="s">
        <v>696</v>
      </c>
      <c r="D13" s="19" t="s">
        <v>687</v>
      </c>
      <c r="E13" s="20" t="s">
        <v>697</v>
      </c>
      <c r="F13" s="21">
        <v>15</v>
      </c>
      <c r="G13" s="22" t="s">
        <v>667</v>
      </c>
    </row>
    <row r="14" spans="1:7" ht="29.25" customHeight="1">
      <c r="A14" s="18" t="s">
        <v>49</v>
      </c>
      <c r="B14" s="18" t="s">
        <v>261</v>
      </c>
      <c r="C14" s="19" t="s">
        <v>698</v>
      </c>
      <c r="D14" s="19" t="s">
        <v>699</v>
      </c>
      <c r="E14" s="20" t="s">
        <v>700</v>
      </c>
      <c r="F14" s="21">
        <v>15</v>
      </c>
      <c r="G14" s="22" t="s">
        <v>667</v>
      </c>
    </row>
    <row r="15" spans="1:7" ht="29.25" customHeight="1">
      <c r="A15" s="18" t="s">
        <v>23</v>
      </c>
      <c r="B15" s="18" t="s">
        <v>188</v>
      </c>
      <c r="C15" s="19" t="s">
        <v>701</v>
      </c>
      <c r="D15" s="19" t="s">
        <v>669</v>
      </c>
      <c r="E15" s="20" t="s">
        <v>702</v>
      </c>
      <c r="F15" s="21">
        <v>15</v>
      </c>
      <c r="G15" s="22" t="s">
        <v>667</v>
      </c>
    </row>
    <row r="16" spans="1:7" ht="15" customHeight="1">
      <c r="A16" s="18" t="s">
        <v>54</v>
      </c>
      <c r="B16" s="18" t="s">
        <v>54</v>
      </c>
      <c r="C16" s="19" t="s">
        <v>703</v>
      </c>
      <c r="D16" s="19" t="s">
        <v>704</v>
      </c>
      <c r="E16" s="20" t="s">
        <v>705</v>
      </c>
      <c r="F16" s="21">
        <v>14</v>
      </c>
      <c r="G16" s="22" t="s">
        <v>667</v>
      </c>
    </row>
    <row r="17" spans="1:7" ht="15" customHeight="1">
      <c r="A17" s="31" t="s">
        <v>706</v>
      </c>
      <c r="E17" s="31">
        <f>SUM(E2:E15)</f>
        <v>0</v>
      </c>
      <c r="F17" s="31">
        <f>SUM(F2:F16)</f>
        <v>200</v>
      </c>
      <c r="G17" s="31">
        <f>SUMIF(G2:G16,"노출",F2:F16)</f>
        <v>193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Normal="100" workbookViewId="0"/>
  </sheetViews>
  <sheetFormatPr defaultColWidth="8.7109375" defaultRowHeight="15"/>
  <cols>
    <col min="1" max="1" width="10" style="1" customWidth="1"/>
    <col min="2" max="2" width="46" style="1" customWidth="1"/>
    <col min="3" max="5" width="12" style="1" customWidth="1"/>
  </cols>
  <sheetData>
    <row r="1" spans="1:5" ht="15" customHeight="1">
      <c r="A1" s="16" t="s">
        <v>8</v>
      </c>
      <c r="B1" s="16" t="s">
        <v>707</v>
      </c>
      <c r="C1" s="16" t="s">
        <v>708</v>
      </c>
      <c r="D1" s="16" t="s">
        <v>709</v>
      </c>
      <c r="E1" s="16" t="s">
        <v>710</v>
      </c>
    </row>
    <row r="2" spans="1:5" ht="15" customHeight="1">
      <c r="A2" s="32">
        <v>1</v>
      </c>
      <c r="B2" s="19" t="s">
        <v>711</v>
      </c>
      <c r="C2" s="32">
        <f>COUNTIF(문제은행!$I$2:$I$201,1)</f>
        <v>49</v>
      </c>
      <c r="D2" s="33">
        <f>C2/$C$5</f>
        <v>0.245</v>
      </c>
      <c r="E2" s="33">
        <v>0.4</v>
      </c>
    </row>
    <row r="3" spans="1:5" ht="15" customHeight="1">
      <c r="A3" s="32">
        <v>2</v>
      </c>
      <c r="B3" s="19" t="s">
        <v>712</v>
      </c>
      <c r="C3" s="32">
        <f>COUNTIF(문제은행!$I$2:$I$201,2)</f>
        <v>103</v>
      </c>
      <c r="D3" s="33">
        <f>C3/$C$5</f>
        <v>0.51500000000000001</v>
      </c>
      <c r="E3" s="33">
        <v>0.4</v>
      </c>
    </row>
    <row r="4" spans="1:5" ht="15" customHeight="1">
      <c r="A4" s="32">
        <v>3</v>
      </c>
      <c r="B4" s="19" t="s">
        <v>713</v>
      </c>
      <c r="C4" s="32">
        <f>COUNTIF(문제은행!$I$2:$I$201,3)</f>
        <v>48</v>
      </c>
      <c r="D4" s="33">
        <f>C4/$C$5</f>
        <v>0.24</v>
      </c>
      <c r="E4" s="33">
        <v>0.2</v>
      </c>
    </row>
    <row r="5" spans="1:5" ht="15" customHeight="1">
      <c r="A5" s="34" t="s">
        <v>706</v>
      </c>
      <c r="B5" s="20"/>
      <c r="C5" s="34">
        <f>SUM(C2:C4)</f>
        <v>200</v>
      </c>
      <c r="D5" s="33">
        <f>SUM(D2:D4)</f>
        <v>1</v>
      </c>
      <c r="E5" s="33">
        <f>SUM(E2:E4)</f>
        <v>1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zoomScaleNormal="100" workbookViewId="0"/>
  </sheetViews>
  <sheetFormatPr defaultColWidth="8.7109375" defaultRowHeight="15"/>
  <cols>
    <col min="1" max="1" width="76" style="1" customWidth="1"/>
    <col min="2" max="2" width="62" style="1" customWidth="1"/>
  </cols>
  <sheetData>
    <row r="1" spans="1:2" ht="21" customHeight="1">
      <c r="A1" s="35" t="s">
        <v>714</v>
      </c>
      <c r="B1" s="25"/>
    </row>
    <row r="2" spans="1:2" ht="15" customHeight="1">
      <c r="A2" s="25"/>
      <c r="B2" s="25"/>
    </row>
    <row r="3" spans="1:2" ht="16.5" customHeight="1">
      <c r="A3" s="36" t="s">
        <v>715</v>
      </c>
      <c r="B3" s="25"/>
    </row>
    <row r="4" spans="1:2" ht="15" customHeight="1">
      <c r="A4" s="24" t="s">
        <v>716</v>
      </c>
      <c r="B4" s="25"/>
    </row>
    <row r="5" spans="1:2" ht="15" customHeight="1">
      <c r="A5" s="25" t="s">
        <v>717</v>
      </c>
      <c r="B5" s="25"/>
    </row>
    <row r="6" spans="1:2" ht="15" customHeight="1">
      <c r="A6" s="25"/>
      <c r="B6" s="25"/>
    </row>
    <row r="7" spans="1:2" ht="16.5" customHeight="1">
      <c r="A7" s="36" t="s">
        <v>718</v>
      </c>
      <c r="B7" s="25"/>
    </row>
    <row r="8" spans="1:2" ht="15" customHeight="1">
      <c r="A8" s="24" t="s">
        <v>719</v>
      </c>
      <c r="B8" s="25"/>
    </row>
    <row r="9" spans="1:2" ht="15" customHeight="1">
      <c r="A9" s="24" t="s">
        <v>720</v>
      </c>
      <c r="B9" s="25"/>
    </row>
    <row r="10" spans="1:2" ht="15" customHeight="1">
      <c r="A10" s="25"/>
      <c r="B10" s="25"/>
    </row>
    <row r="11" spans="1:2" ht="16.5" customHeight="1">
      <c r="A11" s="36" t="s">
        <v>721</v>
      </c>
      <c r="B11" s="25"/>
    </row>
    <row r="12" spans="1:2" ht="15" customHeight="1">
      <c r="A12" s="24" t="s">
        <v>1</v>
      </c>
      <c r="B12" s="24" t="s">
        <v>722</v>
      </c>
    </row>
    <row r="13" spans="1:2" ht="15" customHeight="1">
      <c r="A13" s="24" t="s">
        <v>2</v>
      </c>
      <c r="B13" s="24" t="s">
        <v>723</v>
      </c>
    </row>
    <row r="14" spans="1:2" ht="15" customHeight="1">
      <c r="A14" s="24" t="s">
        <v>724</v>
      </c>
      <c r="B14" s="24" t="s">
        <v>725</v>
      </c>
    </row>
    <row r="15" spans="1:2" ht="15" customHeight="1">
      <c r="A15" s="24" t="s">
        <v>7</v>
      </c>
      <c r="B15" s="24" t="s">
        <v>726</v>
      </c>
    </row>
    <row r="16" spans="1:2" ht="15" customHeight="1">
      <c r="A16" s="24" t="s">
        <v>8</v>
      </c>
      <c r="B16" s="25" t="s">
        <v>727</v>
      </c>
    </row>
    <row r="17" spans="1:2" ht="15" customHeight="1">
      <c r="A17" s="24" t="s">
        <v>10</v>
      </c>
      <c r="B17" s="24" t="s">
        <v>728</v>
      </c>
    </row>
    <row r="18" spans="1:2" ht="15" customHeight="1">
      <c r="A18" s="24" t="s">
        <v>11</v>
      </c>
      <c r="B18" s="24" t="s">
        <v>729</v>
      </c>
    </row>
    <row r="19" spans="1:2" ht="15" customHeight="1">
      <c r="A19" s="25"/>
      <c r="B19" s="25"/>
    </row>
    <row r="20" spans="1:2" ht="16.5" customHeight="1">
      <c r="A20" s="36" t="s">
        <v>730</v>
      </c>
      <c r="B20" s="25"/>
    </row>
    <row r="21" spans="1:2" ht="15" customHeight="1">
      <c r="A21" s="24" t="s">
        <v>1</v>
      </c>
      <c r="B21" s="24" t="s">
        <v>13</v>
      </c>
    </row>
    <row r="22" spans="1:2" ht="15" customHeight="1">
      <c r="A22" s="24" t="s">
        <v>2</v>
      </c>
      <c r="B22" s="37" t="s">
        <v>14</v>
      </c>
    </row>
    <row r="23" spans="1:2" ht="15" customHeight="1">
      <c r="A23" s="24" t="s">
        <v>4</v>
      </c>
      <c r="B23" s="37" t="s">
        <v>15</v>
      </c>
    </row>
    <row r="24" spans="1:2" ht="15" customHeight="1">
      <c r="A24" s="24" t="s">
        <v>7</v>
      </c>
      <c r="B24" s="37" t="s">
        <v>17</v>
      </c>
    </row>
    <row r="25" spans="1:2" ht="15" customHeight="1">
      <c r="A25" s="24" t="s">
        <v>8</v>
      </c>
      <c r="B25" s="38" t="s">
        <v>731</v>
      </c>
    </row>
    <row r="26" spans="1:2" ht="15" customHeight="1">
      <c r="A26" s="24" t="s">
        <v>10</v>
      </c>
      <c r="B26" s="37" t="s">
        <v>732</v>
      </c>
    </row>
    <row r="27" spans="1:2" ht="15" customHeight="1">
      <c r="A27" s="25"/>
      <c r="B27" s="38"/>
    </row>
    <row r="28" spans="1:2" ht="16.5" customHeight="1">
      <c r="A28" s="36" t="s">
        <v>733</v>
      </c>
      <c r="B28" s="25"/>
    </row>
    <row r="29" spans="1:2" ht="15" customHeight="1">
      <c r="A29" s="25" t="s">
        <v>734</v>
      </c>
      <c r="B29" s="25"/>
    </row>
    <row r="30" spans="1:2" ht="15" customHeight="1">
      <c r="A30" s="24" t="s">
        <v>735</v>
      </c>
      <c r="B30" s="25"/>
    </row>
    <row r="31" spans="1:2" ht="15" customHeight="1">
      <c r="A31" s="24" t="s">
        <v>736</v>
      </c>
      <c r="B31" s="25"/>
    </row>
    <row r="32" spans="1:2" ht="15" customHeight="1">
      <c r="A32" s="24" t="s">
        <v>737</v>
      </c>
      <c r="B32" s="25"/>
    </row>
    <row r="33" spans="1:2" ht="15" customHeight="1">
      <c r="A33" s="25"/>
      <c r="B33" s="25"/>
    </row>
    <row r="34" spans="1:2" ht="16.5" customHeight="1">
      <c r="A34" s="36" t="s">
        <v>738</v>
      </c>
      <c r="B34" s="25"/>
    </row>
    <row r="35" spans="1:2" ht="15" customHeight="1">
      <c r="A35" s="24" t="s">
        <v>739</v>
      </c>
      <c r="B35" s="25"/>
    </row>
    <row r="36" spans="1:2" ht="15" customHeight="1">
      <c r="A36" s="25" t="s">
        <v>740</v>
      </c>
      <c r="B36" s="25"/>
    </row>
    <row r="37" spans="1:2" ht="15" customHeight="1">
      <c r="A37" s="24" t="s">
        <v>741</v>
      </c>
      <c r="B37" s="25"/>
    </row>
    <row r="38" spans="1:2" ht="15" customHeight="1">
      <c r="A38" s="24" t="s">
        <v>742</v>
      </c>
      <c r="B38" s="25"/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"/>
  <sheetViews>
    <sheetView zoomScaleNormal="100" workbookViewId="0"/>
  </sheetViews>
  <sheetFormatPr defaultColWidth="8.7109375" defaultRowHeight="15"/>
  <cols>
    <col min="1" max="1" width="14" style="1" customWidth="1"/>
    <col min="2" max="2" width="96" style="1" customWidth="1"/>
  </cols>
  <sheetData>
    <row r="1" spans="1:2" ht="15" customHeight="1">
      <c r="A1" s="39" t="s">
        <v>743</v>
      </c>
      <c r="B1" s="40"/>
    </row>
    <row r="2" spans="1:2" ht="15" customHeight="1">
      <c r="A2" s="41" t="s">
        <v>744</v>
      </c>
      <c r="B2" s="40" t="s">
        <v>745</v>
      </c>
    </row>
    <row r="3" spans="1:2" ht="15" customHeight="1">
      <c r="A3" s="41" t="s">
        <v>746</v>
      </c>
      <c r="B3" s="40" t="s">
        <v>747</v>
      </c>
    </row>
    <row r="4" spans="1:2" ht="15" customHeight="1">
      <c r="A4" s="41"/>
      <c r="B4" s="40"/>
    </row>
    <row r="5" spans="1:2" ht="15" customHeight="1">
      <c r="A5" s="39" t="s">
        <v>748</v>
      </c>
      <c r="B5" s="40"/>
    </row>
    <row r="6" spans="1:2" ht="15" customHeight="1">
      <c r="A6" s="41" t="s">
        <v>749</v>
      </c>
      <c r="B6" s="42" t="s">
        <v>750</v>
      </c>
    </row>
    <row r="7" spans="1:2" ht="15" customHeight="1">
      <c r="A7" s="41"/>
      <c r="B7" s="40"/>
    </row>
    <row r="8" spans="1:2" ht="15" customHeight="1">
      <c r="A8" s="39" t="s">
        <v>751</v>
      </c>
      <c r="B8" s="40"/>
    </row>
    <row r="9" spans="1:2" ht="29.25" customHeight="1">
      <c r="A9" s="43" t="s">
        <v>258</v>
      </c>
      <c r="B9" s="42" t="s">
        <v>752</v>
      </c>
    </row>
    <row r="10" spans="1:2" ht="15" customHeight="1">
      <c r="A10" s="43" t="s">
        <v>285</v>
      </c>
      <c r="B10" s="42" t="s">
        <v>753</v>
      </c>
    </row>
    <row r="11" spans="1:2" ht="15" customHeight="1">
      <c r="A11" s="41"/>
      <c r="B11" s="40"/>
    </row>
    <row r="12" spans="1:2" ht="15" customHeight="1">
      <c r="A12" s="39" t="s">
        <v>754</v>
      </c>
      <c r="B12" s="40"/>
    </row>
    <row r="13" spans="1:2" ht="15" customHeight="1">
      <c r="A13" s="41" t="s">
        <v>755</v>
      </c>
      <c r="B13" s="40" t="s">
        <v>756</v>
      </c>
    </row>
    <row r="14" spans="1:2" ht="15" customHeight="1">
      <c r="A14" s="41" t="s">
        <v>757</v>
      </c>
      <c r="B14" s="40" t="s">
        <v>758</v>
      </c>
    </row>
    <row r="15" spans="1:2" ht="15" customHeight="1">
      <c r="A15" s="41"/>
      <c r="B15" s="40" t="s">
        <v>759</v>
      </c>
    </row>
    <row r="16" spans="1:2" ht="15" customHeight="1">
      <c r="A16" s="41"/>
      <c r="B16" s="40"/>
    </row>
    <row r="17" spans="1:2" ht="15" customHeight="1">
      <c r="A17" s="39" t="s">
        <v>760</v>
      </c>
      <c r="B17" s="40"/>
    </row>
    <row r="18" spans="1:2" ht="15" customHeight="1">
      <c r="A18" s="43" t="s">
        <v>761</v>
      </c>
      <c r="B18" s="42" t="s">
        <v>762</v>
      </c>
    </row>
    <row r="19" spans="1:2" ht="15" customHeight="1">
      <c r="A19" s="43" t="s">
        <v>74</v>
      </c>
      <c r="B19" s="40" t="s">
        <v>763</v>
      </c>
    </row>
    <row r="20" spans="1:2" ht="15" customHeight="1">
      <c r="A20" s="43" t="s">
        <v>218</v>
      </c>
      <c r="B20" s="40" t="s">
        <v>764</v>
      </c>
    </row>
    <row r="21" spans="1:2" ht="15" customHeight="1">
      <c r="A21" s="43" t="s">
        <v>251</v>
      </c>
      <c r="B21" s="42" t="s">
        <v>765</v>
      </c>
    </row>
    <row r="22" spans="1:2" ht="15" customHeight="1">
      <c r="A22" s="43" t="s">
        <v>766</v>
      </c>
      <c r="B22" s="42" t="s">
        <v>767</v>
      </c>
    </row>
    <row r="23" spans="1:2" ht="15" customHeight="1">
      <c r="A23" s="43" t="s">
        <v>768</v>
      </c>
      <c r="B23" s="40" t="s">
        <v>769</v>
      </c>
    </row>
    <row r="24" spans="1:2" ht="15" customHeight="1">
      <c r="A24" s="41"/>
      <c r="B24" s="40"/>
    </row>
    <row r="25" spans="1:2" ht="15" customHeight="1">
      <c r="A25" s="39" t="s">
        <v>770</v>
      </c>
      <c r="B25" s="40"/>
    </row>
    <row r="26" spans="1:2" ht="15" customHeight="1">
      <c r="A26" s="41" t="s">
        <v>771</v>
      </c>
      <c r="B26" s="42" t="s">
        <v>772</v>
      </c>
    </row>
    <row r="27" spans="1:2" ht="15" customHeight="1">
      <c r="A27" s="41" t="s">
        <v>10</v>
      </c>
      <c r="B27" s="42" t="s">
        <v>773</v>
      </c>
    </row>
    <row r="28" spans="1:2" ht="15" customHeight="1">
      <c r="A28" s="41"/>
      <c r="B28" s="40"/>
    </row>
    <row r="29" spans="1:2" ht="15" customHeight="1">
      <c r="A29" s="39" t="s">
        <v>774</v>
      </c>
      <c r="B29" s="40"/>
    </row>
    <row r="30" spans="1:2" ht="15" customHeight="1">
      <c r="A30" s="41" t="s">
        <v>775</v>
      </c>
      <c r="B30" s="40" t="s">
        <v>776</v>
      </c>
    </row>
    <row r="31" spans="1:2" ht="15" customHeight="1">
      <c r="A31" s="41" t="s">
        <v>777</v>
      </c>
      <c r="B31" s="42" t="s">
        <v>778</v>
      </c>
    </row>
    <row r="32" spans="1:2" ht="15" customHeight="1">
      <c r="A32" s="41"/>
      <c r="B32" s="42" t="s">
        <v>779</v>
      </c>
    </row>
    <row r="33" spans="1:2" ht="15" customHeight="1">
      <c r="A33" s="41" t="s">
        <v>780</v>
      </c>
      <c r="B33" s="42" t="s">
        <v>781</v>
      </c>
    </row>
    <row r="34" spans="1:2" ht="15" customHeight="1">
      <c r="A34" s="41"/>
      <c r="B34" s="40"/>
    </row>
    <row r="35" spans="1:2" ht="15" customHeight="1">
      <c r="A35" s="39" t="s">
        <v>782</v>
      </c>
      <c r="B35" s="40"/>
    </row>
    <row r="36" spans="1:2" ht="15" customHeight="1">
      <c r="A36" s="41" t="s">
        <v>783</v>
      </c>
      <c r="B36" s="42" t="s">
        <v>784</v>
      </c>
    </row>
    <row r="37" spans="1:2" ht="15" customHeight="1">
      <c r="A37" s="41"/>
      <c r="B37" s="42" t="s">
        <v>785</v>
      </c>
    </row>
    <row r="38" spans="1:2" ht="15" customHeight="1">
      <c r="A38" s="41" t="s">
        <v>786</v>
      </c>
      <c r="B38" s="42" t="s">
        <v>787</v>
      </c>
    </row>
    <row r="39" spans="1:2" ht="15" customHeight="1">
      <c r="A39" s="41" t="s">
        <v>788</v>
      </c>
      <c r="B39" s="42" t="s">
        <v>789</v>
      </c>
    </row>
    <row r="41" spans="1:2" ht="15" customHeight="1">
      <c r="A41" s="44" t="s">
        <v>790</v>
      </c>
      <c r="B41" s="40"/>
    </row>
    <row r="42" spans="1:2" ht="15" customHeight="1">
      <c r="A42" s="41" t="s">
        <v>791</v>
      </c>
      <c r="B42" s="40" t="s">
        <v>792</v>
      </c>
    </row>
    <row r="43" spans="1:2" ht="15" customHeight="1">
      <c r="A43" s="41"/>
      <c r="B43" s="42" t="s">
        <v>793</v>
      </c>
    </row>
    <row r="44" spans="1:2" ht="15" customHeight="1">
      <c r="A44" s="41" t="s">
        <v>794</v>
      </c>
      <c r="B44" s="42" t="s">
        <v>795</v>
      </c>
    </row>
    <row r="45" spans="1:2" ht="15" customHeight="1">
      <c r="A45" s="43" t="s">
        <v>796</v>
      </c>
      <c r="B45" s="40" t="s">
        <v>797</v>
      </c>
    </row>
    <row r="46" spans="1:2" ht="15" customHeight="1">
      <c r="A46" s="43"/>
      <c r="B46" s="40"/>
    </row>
    <row r="47" spans="1:2" ht="15" customHeight="1">
      <c r="A47" s="39" t="s">
        <v>798</v>
      </c>
      <c r="B47" s="40"/>
    </row>
    <row r="48" spans="1:2" ht="15" customHeight="1">
      <c r="A48" s="41" t="s">
        <v>775</v>
      </c>
      <c r="B48" s="40" t="s">
        <v>799</v>
      </c>
    </row>
    <row r="49" spans="1:2" ht="15" customHeight="1">
      <c r="A49" s="41" t="s">
        <v>800</v>
      </c>
      <c r="B49" s="42" t="s">
        <v>801</v>
      </c>
    </row>
    <row r="50" spans="1:2" ht="15" customHeight="1">
      <c r="A50" s="41" t="s">
        <v>802</v>
      </c>
      <c r="B50" s="40" t="s">
        <v>803</v>
      </c>
    </row>
    <row r="51" spans="1:2" ht="15" customHeight="1">
      <c r="A51" s="41" t="s">
        <v>804</v>
      </c>
      <c r="B51" s="40" t="s">
        <v>805</v>
      </c>
    </row>
    <row r="52" spans="1:2" ht="15" customHeight="1">
      <c r="A52" s="43"/>
      <c r="B52" s="40"/>
    </row>
    <row r="53" spans="1:2" ht="15" customHeight="1">
      <c r="A53" s="39" t="s">
        <v>774</v>
      </c>
      <c r="B53" s="40"/>
    </row>
    <row r="54" spans="1:2" ht="15" customHeight="1">
      <c r="A54" s="41" t="s">
        <v>806</v>
      </c>
      <c r="B54" s="42" t="s">
        <v>807</v>
      </c>
    </row>
    <row r="55" spans="1:2" ht="15" customHeight="1">
      <c r="A55" s="43"/>
      <c r="B55" s="40"/>
    </row>
    <row r="56" spans="1:2" ht="15" customHeight="1">
      <c r="A56" s="39" t="s">
        <v>808</v>
      </c>
      <c r="B56" s="40"/>
    </row>
    <row r="57" spans="1:2" ht="15" customHeight="1">
      <c r="A57" s="41" t="s">
        <v>788</v>
      </c>
      <c r="B57" s="40" t="s">
        <v>809</v>
      </c>
    </row>
    <row r="58" spans="1:2" ht="15" customHeight="1">
      <c r="A58" s="41" t="s">
        <v>810</v>
      </c>
      <c r="B58" s="42" t="s">
        <v>811</v>
      </c>
    </row>
    <row r="59" spans="1:2" ht="15" customHeight="1">
      <c r="A59" s="43"/>
      <c r="B59" s="42" t="s">
        <v>812</v>
      </c>
    </row>
    <row r="61" spans="1:2" ht="15" customHeight="1">
      <c r="A61" s="44" t="s">
        <v>813</v>
      </c>
      <c r="B61" s="40"/>
    </row>
    <row r="62" spans="1:2" ht="15" customHeight="1">
      <c r="A62" s="43" t="s">
        <v>814</v>
      </c>
      <c r="B62" s="42" t="s">
        <v>815</v>
      </c>
    </row>
    <row r="63" spans="1:2" ht="15" customHeight="1">
      <c r="A63" s="41" t="s">
        <v>816</v>
      </c>
      <c r="B63" s="40" t="s">
        <v>817</v>
      </c>
    </row>
    <row r="64" spans="1:2" ht="15" customHeight="1">
      <c r="A64" s="41" t="s">
        <v>818</v>
      </c>
      <c r="B64" s="40" t="s">
        <v>819</v>
      </c>
    </row>
    <row r="65" spans="1:2" ht="15" customHeight="1">
      <c r="A65" s="43"/>
      <c r="B65" s="42" t="s">
        <v>820</v>
      </c>
    </row>
    <row r="66" spans="1:2" ht="15" customHeight="1">
      <c r="A66" s="41" t="s">
        <v>821</v>
      </c>
      <c r="B66" s="42" t="s">
        <v>822</v>
      </c>
    </row>
    <row r="67" spans="1:2" ht="15" customHeight="1">
      <c r="A67" s="41" t="s">
        <v>823</v>
      </c>
      <c r="B67" s="42" t="s">
        <v>824</v>
      </c>
    </row>
    <row r="68" spans="1:2" ht="15" customHeight="1">
      <c r="A68" s="43"/>
      <c r="B68" s="42" t="s">
        <v>825</v>
      </c>
    </row>
    <row r="70" spans="1:2">
      <c r="A70" s="45" t="s">
        <v>826</v>
      </c>
      <c r="B70" s="40"/>
    </row>
    <row r="71" spans="1:2">
      <c r="A71" s="46" t="s">
        <v>827</v>
      </c>
      <c r="B71" s="47" t="s">
        <v>828</v>
      </c>
    </row>
    <row r="72" spans="1:2">
      <c r="A72" s="46" t="s">
        <v>829</v>
      </c>
      <c r="B72" s="47" t="s">
        <v>830</v>
      </c>
    </row>
    <row r="73" spans="1:2">
      <c r="A73" s="46"/>
      <c r="B73" s="40"/>
    </row>
    <row r="74" spans="1:2">
      <c r="A74" s="46" t="s">
        <v>831</v>
      </c>
      <c r="B74" s="47" t="s">
        <v>832</v>
      </c>
    </row>
    <row r="75" spans="1:2">
      <c r="A75" s="48" t="s">
        <v>833</v>
      </c>
      <c r="B75" s="40" t="s">
        <v>834</v>
      </c>
    </row>
    <row r="76" spans="1:2">
      <c r="A76" s="48" t="s">
        <v>835</v>
      </c>
      <c r="B76" s="47" t="s">
        <v>836</v>
      </c>
    </row>
    <row r="77" spans="1:2">
      <c r="A77" s="48" t="s">
        <v>814</v>
      </c>
      <c r="B77" s="40" t="s">
        <v>837</v>
      </c>
    </row>
    <row r="78" spans="1:2">
      <c r="A78" s="46" t="s">
        <v>838</v>
      </c>
      <c r="B78" s="47" t="s">
        <v>839</v>
      </c>
    </row>
    <row r="79" spans="1:2">
      <c r="A79" s="46" t="s">
        <v>724</v>
      </c>
      <c r="B79" s="47" t="s">
        <v>840</v>
      </c>
    </row>
    <row r="80" spans="1:2">
      <c r="A80" s="46" t="s">
        <v>841</v>
      </c>
      <c r="B80" s="40" t="s">
        <v>842</v>
      </c>
    </row>
    <row r="81" spans="1:2">
      <c r="A81" s="48"/>
      <c r="B81" s="40"/>
    </row>
    <row r="82" spans="1:2">
      <c r="A82" s="49" t="s">
        <v>843</v>
      </c>
      <c r="B82" s="40"/>
    </row>
    <row r="83" spans="1:2">
      <c r="A83" s="46" t="s">
        <v>844</v>
      </c>
      <c r="B83" s="47" t="s">
        <v>845</v>
      </c>
    </row>
    <row r="84" spans="1:2">
      <c r="A84" s="46" t="s">
        <v>846</v>
      </c>
      <c r="B84" s="47" t="s">
        <v>847</v>
      </c>
    </row>
    <row r="85" spans="1:2">
      <c r="A85" s="48"/>
      <c r="B85" s="40"/>
    </row>
    <row r="86" spans="1:2">
      <c r="A86" s="49" t="s">
        <v>848</v>
      </c>
      <c r="B86" s="40"/>
    </row>
    <row r="87" spans="1:2">
      <c r="A87" s="46" t="s">
        <v>849</v>
      </c>
      <c r="B87" s="47" t="s">
        <v>850</v>
      </c>
    </row>
    <row r="88" spans="1:2">
      <c r="A88" s="46" t="s">
        <v>851</v>
      </c>
      <c r="B88" s="47" t="s">
        <v>852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문제은행</vt:lpstr>
      <vt:lpstr>분류체계</vt:lpstr>
      <vt:lpstr>난이도분포</vt:lpstr>
      <vt:lpstr>작성가이드</vt:lpstr>
      <vt:lpstr>변경요약</vt:lpstr>
      <vt:lpstr>분류목록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2026-08-13T00:39:18Z</dcterms:created>
  <dcterms:modified xsi:type="dcterms:W3CDTF">2026-08-13T03:32:59Z</dcterms:modified>
  <dc:language>en-US</dc:language>
</cp:coreProperties>
</file>